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ummary" sheetId="2" state="visible" r:id="rId4"/>
  </sheets>
  <definedNames>
    <definedName function="false" hidden="true" localSheetId="0" name="_xlnm._FilterDatabase" vbProcedure="false">Schedule!$A$1:$K$126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<sst xmlns="http://schemas.openxmlformats.org/spreadsheetml/2006/main" count="1022" uniqueCount="419">
  <si>
    <t xml:space="preserve">ID</t>
  </si>
  <si>
    <t xml:space="preserve">Issue Type</t>
  </si>
  <si>
    <t xml:space="preserve">Summary</t>
  </si>
  <si>
    <t xml:space="preserve">Component</t>
  </si>
  <si>
    <t xml:space="preserve">Workstream</t>
  </si>
  <si>
    <t xml:space="preserve">Owner</t>
  </si>
  <si>
    <t xml:space="preserve">Status</t>
  </si>
  <si>
    <t xml:space="preserve">Week #</t>
  </si>
  <si>
    <t xml:space="preserve">Start Date</t>
  </si>
  <si>
    <t xml:space="preserve">Due Date</t>
  </si>
  <si>
    <t xml:space="preserve">Description</t>
  </si>
  <si>
    <t xml:space="preserve">TH-001</t>
  </si>
  <si>
    <t xml:space="preserve">Story</t>
  </si>
  <si>
    <t xml:space="preserve">testo CLI (scan / generate / ask)</t>
  </si>
  <si>
    <t xml:space="preserve">CLI</t>
  </si>
  <si>
    <t xml:space="preserve">Platform / CLI</t>
  </si>
  <si>
    <t xml:space="preserve">Nikhil Vemula</t>
  </si>
  <si>
    <t xml:space="preserve">Done</t>
  </si>
  <si>
    <t xml:space="preserve">Command-line entrypoint that orchestrates scan, generate and ask.</t>
  </si>
  <si>
    <t xml:space="preserve">TH-002</t>
  </si>
  <si>
    <t xml:space="preserve">Crawler engine (BFS + capture)</t>
  </si>
  <si>
    <t xml:space="preserve">Crawler</t>
  </si>
  <si>
    <t xml:space="preserve">Discovery &amp; Context</t>
  </si>
  <si>
    <t xml:space="preserve">Crawlee + Playwright BFS crawler with full network capture, login and safe-click pass.</t>
  </si>
  <si>
    <t xml:space="preserve">TH-003</t>
  </si>
  <si>
    <t xml:space="preserve">Graphify code-graph extractor</t>
  </si>
  <si>
    <t xml:space="preserve">Context: Content Extractor</t>
  </si>
  <si>
    <t xml:space="preserve">LLM-enriched code knowledge graph (detect -&gt; AST -&gt; semantic).</t>
  </si>
  <si>
    <t xml:space="preserve">TH-004</t>
  </si>
  <si>
    <t xml:space="preserve">Set up Jira board, sprints + workflow</t>
  </si>
  <si>
    <t xml:space="preserve">Project Mgmt</t>
  </si>
  <si>
    <t xml:space="preserve">Project Management</t>
  </si>
  <si>
    <t xml:space="preserve">Nikhil Kalsi</t>
  </si>
  <si>
    <t xml:space="preserve">Backlog</t>
  </si>
  <si>
    <t xml:space="preserve">Project + board setup.</t>
  </si>
  <si>
    <t xml:space="preserve">TH-005</t>
  </si>
  <si>
    <t xml:space="preserve">Graphify run engine</t>
  </si>
  <si>
    <t xml:space="preserve">Graphify CLI runner with automatic LLM backend selection.</t>
  </si>
  <si>
    <t xml:space="preserve">TH-006</t>
  </si>
  <si>
    <t xml:space="preserve">DB-schema extractor (AST + LLM)</t>
  </si>
  <si>
    <t xml:space="preserve">Database-schema extractor: deterministic SQLAlchemy AST + LLM for Django/Prisma/TypeORM.</t>
  </si>
  <si>
    <t xml:space="preserve">TH-007</t>
  </si>
  <si>
    <t xml:space="preserve">Framework detection + 20+ code-extractors</t>
  </si>
  <si>
    <t xml:space="preserve">Detects the app framework and runs the matching per-language route/handler extractors.</t>
  </si>
  <si>
    <t xml:space="preserve">TH-008</t>
  </si>
  <si>
    <t xml:space="preserve">Mock-data + OpenAPI extractors</t>
  </si>
  <si>
    <t xml:space="preserve">Distils request/response samples and probes/parses the OpenAPI spec.</t>
  </si>
  <si>
    <t xml:space="preserve">TH-009</t>
  </si>
  <si>
    <t xml:space="preserve">Text-kg + Jira + Confluence extractors</t>
  </si>
  <si>
    <t xml:space="preserve">Extracts knowledge from docs, Jira and Confluence (kg-gen).</t>
  </si>
  <si>
    <t xml:space="preserve">TH-010</t>
  </si>
  <si>
    <t xml:space="preserve">Indexer — 13 topics</t>
  </si>
  <si>
    <t xml:space="preserve">Context: Indexer/Scan</t>
  </si>
  <si>
    <t xml:space="preserve">Merges every source into 13 indexed topic files (APIs, pages, routes, etc.).</t>
  </si>
  <si>
    <t xml:space="preserve">TH-011</t>
  </si>
  <si>
    <t xml:space="preserve">API-spec verifier (authenticity gate)</t>
  </si>
  <si>
    <t xml:space="preserve">LLM check that removes phantom/stripped-prefix endpoints and repairs request bodies.</t>
  </si>
  <si>
    <t xml:space="preserve">TH-012</t>
  </si>
  <si>
    <t xml:space="preserve">Intelligent login classifier</t>
  </si>
  <si>
    <t xml:space="preserve">One LLM classifier for SSO vs normal login with concrete selectors/steps.</t>
  </si>
  <si>
    <t xml:space="preserve">TH-013</t>
  </si>
  <si>
    <t xml:space="preserve">Intent-extraction performance tuning</t>
  </si>
  <si>
    <t xml:space="preserve">Dedup + concurrency + row caps cut a 34-page crawl from ~81 min to ~30s.</t>
  </si>
  <si>
    <t xml:space="preserve">TH-014</t>
  </si>
  <si>
    <t xml:space="preserve">Wire knowledge-file build into the scan</t>
  </si>
  <si>
    <t xml:space="preserve">Core Loop</t>
  </si>
  <si>
    <t xml:space="preserve">Ankit</t>
  </si>
  <si>
    <t xml:space="preserve">Build the file at the end of a scan.</t>
  </si>
  <si>
    <t xml:space="preserve">TH-015</t>
  </si>
  <si>
    <t xml:space="preserve">Route-tree wired into the crawler</t>
  </si>
  <si>
    <t xml:space="preserve">Route-tree generation added to the crawler pipeline.</t>
  </si>
  <si>
    <t xml:space="preserve">TH-016</t>
  </si>
  <si>
    <t xml:space="preserve">Smoke-test the knowledge file</t>
  </si>
  <si>
    <t xml:space="preserve">Tests</t>
  </si>
  <si>
    <t xml:space="preserve">Verify a scan produces a non-empty file.</t>
  </si>
  <si>
    <t xml:space="preserve">TH-017</t>
  </si>
  <si>
    <t xml:space="preserve">Graph viewer (interactive HTML)</t>
  </si>
  <si>
    <t xml:space="preserve">Context: Graph Viewer</t>
  </si>
  <si>
    <t xml:space="preserve">Self-contained vis-network HTML graphs (click-graph, ui-routes).</t>
  </si>
  <si>
    <t xml:space="preserve">TH-018</t>
  </si>
  <si>
    <t xml:space="preserve">Add provider selection</t>
  </si>
  <si>
    <t xml:space="preserve">Infra: Model Connector</t>
  </si>
  <si>
    <t xml:space="preserve">Register + choose between providers.</t>
  </si>
  <si>
    <t xml:space="preserve">TH-019</t>
  </si>
  <si>
    <t xml:space="preserve">API-test generator (verified spec)</t>
  </si>
  <si>
    <t xml:space="preserve">Generation</t>
  </si>
  <si>
    <t xml:space="preserve">Generates curl API tests from the verified spec with session-safety exemptions.</t>
  </si>
  <si>
    <t xml:space="preserve">TH-020</t>
  </si>
  <si>
    <t xml:space="preserve">Smoke-test each model provider</t>
  </si>
  <si>
    <t xml:space="preserve">Each provider returns a response.</t>
  </si>
  <si>
    <t xml:space="preserve">TH-021</t>
  </si>
  <si>
    <t xml:space="preserve">API-test self-repair loop</t>
  </si>
  <si>
    <t xml:space="preserve">On 422/400, fixes the request body from the server error and re-runs (&lt;=3 attempts).</t>
  </si>
  <si>
    <t xml:space="preserve">TH-022</t>
  </si>
  <si>
    <t xml:space="preserve">Add the run command to the CLI</t>
  </si>
  <si>
    <t xml:space="preserve">Expose 'testo run'.</t>
  </si>
  <si>
    <t xml:space="preserve">TH-023</t>
  </si>
  <si>
    <t xml:space="preserve">OpenAPI write/mutation test-gen</t>
  </si>
  <si>
    <t xml:space="preserve">Spec-driven write/mutation API tests plus execution.</t>
  </si>
  <si>
    <t xml:space="preserve">TH-024</t>
  </si>
  <si>
    <t xml:space="preserve">Agentic harness (LLM tool-calling)</t>
  </si>
  <si>
    <t xml:space="preserve">Infra: Agentic Harness</t>
  </si>
  <si>
    <t xml:space="preserve">Infrastructure</t>
  </si>
  <si>
    <t xml:space="preserve">OpenHarness wrapper: LLM tool-calling loop, backend resolver, honesty rule.</t>
  </si>
  <si>
    <t xml:space="preserve">TH-025</t>
  </si>
  <si>
    <t xml:space="preserve">Build the results dashboard</t>
  </si>
  <si>
    <t xml:space="preserve">Execution</t>
  </si>
  <si>
    <t xml:space="preserve">Pass/fail/flaky + coverage report.</t>
  </si>
  <si>
    <t xml:space="preserve">TH-026</t>
  </si>
  <si>
    <t xml:space="preserve">Skill register</t>
  </si>
  <si>
    <t xml:space="preserve">Infra: Skill Register</t>
  </si>
  <si>
    <t xml:space="preserve">Catalog + service that runs the project's skills uniformly.</t>
  </si>
  <si>
    <t xml:space="preserve">TH-027</t>
  </si>
  <si>
    <t xml:space="preserve">Add the report command to the CLI</t>
  </si>
  <si>
    <t xml:space="preserve">Expose 'testo report'.</t>
  </si>
  <si>
    <t xml:space="preserve">TH-028</t>
  </si>
  <si>
    <t xml:space="preserve">Model connector (MiniMax)</t>
  </si>
  <si>
    <t xml:space="preserve">LLM connector with the MiniMax provider implemented.</t>
  </si>
  <si>
    <t xml:space="preserve">TH-029</t>
  </si>
  <si>
    <t xml:space="preserve">Write run results back into the knowledge file</t>
  </si>
  <si>
    <t xml:space="preserve">Feedback</t>
  </si>
  <si>
    <t xml:space="preserve">Record run history (depends A1).</t>
  </si>
  <si>
    <t xml:space="preserve">TH-030</t>
  </si>
  <si>
    <t xml:space="preserve">Provenance / confidence schema</t>
  </si>
  <si>
    <t xml:space="preserve">Knowledge Base</t>
  </si>
  <si>
    <t xml:space="preserve">Discovery-tier provenance + confidence model used across all sources.</t>
  </si>
  <si>
    <t xml:space="preserve">TH-031</t>
  </si>
  <si>
    <t xml:space="preserve">Trigger feedback automatically after a run</t>
  </si>
  <si>
    <t xml:space="preserve">Run write-back when a run finishes.</t>
  </si>
  <si>
    <t xml:space="preserve">TH-032</t>
  </si>
  <si>
    <t xml:space="preserve">Add the UI-test generation command</t>
  </si>
  <si>
    <t xml:space="preserve">Expose 'testo generate ui-tests'.</t>
  </si>
  <si>
    <t xml:space="preserve">TH-033</t>
  </si>
  <si>
    <t xml:space="preserve">Define the knowledge-file structure</t>
  </si>
  <si>
    <t xml:space="preserve">Agree facts + source + confidence shape.</t>
  </si>
  <si>
    <t xml:space="preserve">TH-034</t>
  </si>
  <si>
    <t xml:space="preserve">Register the UI generator as a skill</t>
  </si>
  <si>
    <t xml:space="preserve">Make it discoverable.</t>
  </si>
  <si>
    <t xml:space="preserve">TH-035</t>
  </si>
  <si>
    <t xml:space="preserve">Add the plan command to the CLI</t>
  </si>
  <si>
    <t xml:space="preserve">Expose 'testo plan'.</t>
  </si>
  <si>
    <t xml:space="preserve">TH-036</t>
  </si>
  <si>
    <t xml:space="preserve">Merge indexed outputs into the knowledge file</t>
  </si>
  <si>
    <t xml:space="preserve">Combine the 13 topic files into one file.</t>
  </si>
  <si>
    <t xml:space="preserve">TH-037</t>
  </si>
  <si>
    <t xml:space="preserve">Add syntax checks for generated tests</t>
  </si>
  <si>
    <t xml:space="preserve">Catch broken tests early.</t>
  </si>
  <si>
    <t xml:space="preserve">TH-038</t>
  </si>
  <si>
    <t xml:space="preserve">Add knowledge-file read/write helpers</t>
  </si>
  <si>
    <t xml:space="preserve">Safe load/save/append helpers.</t>
  </si>
  <si>
    <t xml:space="preserve">TH-039</t>
  </si>
  <si>
    <t xml:space="preserve">Run the validator before execution</t>
  </si>
  <si>
    <t xml:space="preserve">Block bad tests from the runner.</t>
  </si>
  <si>
    <t xml:space="preserve">TH-040</t>
  </si>
  <si>
    <t xml:space="preserve">Add OpenAI model provider</t>
  </si>
  <si>
    <t xml:space="preserve">Use OpenAI models.</t>
  </si>
  <si>
    <t xml:space="preserve">TH-041</t>
  </si>
  <si>
    <t xml:space="preserve">Fold merged records into the knowledge file</t>
  </si>
  <si>
    <t xml:space="preserve">Context Analytics</t>
  </si>
  <si>
    <t xml:space="preserve">Write de-duplicated records back.</t>
  </si>
  <si>
    <t xml:space="preserve">TH-042</t>
  </si>
  <si>
    <t xml:space="preserve">Add local (Ollama) model provider</t>
  </si>
  <si>
    <t xml:space="preserve">Local models for offline use.</t>
  </si>
  <si>
    <t xml:space="preserve">TH-043</t>
  </si>
  <si>
    <t xml:space="preserve">Add written-doc knowledge to the knowledge file</t>
  </si>
  <si>
    <t xml:space="preserve">Include docs/Jira/Confluence knowledge.</t>
  </si>
  <si>
    <t xml:space="preserve">TH-044</t>
  </si>
  <si>
    <t xml:space="preserve">Add Anthropic model provider</t>
  </si>
  <si>
    <t xml:space="preserve">Use Anthropic models.</t>
  </si>
  <si>
    <t xml:space="preserve">TH-045</t>
  </si>
  <si>
    <t xml:space="preserve">Run analytics as part of a scan</t>
  </si>
  <si>
    <t xml:space="preserve">Wire analytics into the scan.</t>
  </si>
  <si>
    <t xml:space="preserve">TH-046</t>
  </si>
  <si>
    <t xml:space="preserve">Run feature grouping in the scan</t>
  </si>
  <si>
    <t xml:space="preserve">Wire feature grouping in.</t>
  </si>
  <si>
    <t xml:space="preserve">TH-047</t>
  </si>
  <si>
    <t xml:space="preserve">Run the generated UI tests + emit JSON</t>
  </si>
  <si>
    <t xml:space="preserve">Execute Playwright specs with machine-readable output.</t>
  </si>
  <si>
    <t xml:space="preserve">TH-048</t>
  </si>
  <si>
    <t xml:space="preserve">Run gap analysis in the scan</t>
  </si>
  <si>
    <t xml:space="preserve">Wire gap analysis in.</t>
  </si>
  <si>
    <t xml:space="preserve">TH-049</t>
  </si>
  <si>
    <t xml:space="preserve">Export an explorable app map</t>
  </si>
  <si>
    <t xml:space="preserve">Context: Graph Analytics</t>
  </si>
  <si>
    <t xml:space="preserve">Map for Gephi etc.</t>
  </si>
  <si>
    <t xml:space="preserve">TH-050</t>
  </si>
  <si>
    <t xml:space="preserve">Run the generated API tests in the runner</t>
  </si>
  <si>
    <t xml:space="preserve">Execute the API tests from the runner.</t>
  </si>
  <si>
    <t xml:space="preserve">TH-051</t>
  </si>
  <si>
    <t xml:space="preserve">Export a scenario tree diagram</t>
  </si>
  <si>
    <t xml:space="preserve">Readable scenario tree.</t>
  </si>
  <si>
    <t xml:space="preserve">TH-052</t>
  </si>
  <si>
    <t xml:space="preserve">Define one unified results format</t>
  </si>
  <si>
    <t xml:space="preserve">Normalise API + UI outcomes into one file.</t>
  </si>
  <si>
    <t xml:space="preserve">TH-053</t>
  </si>
  <si>
    <t xml:space="preserve">Run map building in the scan</t>
  </si>
  <si>
    <t xml:space="preserve">Wire map building in.</t>
  </si>
  <si>
    <t xml:space="preserve">TH-054</t>
  </si>
  <si>
    <t xml:space="preserve">Add retry-once and flaky detection</t>
  </si>
  <si>
    <t xml:space="preserve">Re-run failures once, label flaky.</t>
  </si>
  <si>
    <t xml:space="preserve">TH-055</t>
  </si>
  <si>
    <t xml:space="preserve">Inject relevant notes into runs</t>
  </si>
  <si>
    <t xml:space="preserve">Memory</t>
  </si>
  <si>
    <t xml:space="preserve">Learning &amp; Resilience</t>
  </si>
  <si>
    <t xml:space="preserve">Feed notes into generation/execution.</t>
  </si>
  <si>
    <t xml:space="preserve">TH-056</t>
  </si>
  <si>
    <t xml:space="preserve">Consolidate + prune notes</t>
  </si>
  <si>
    <t xml:space="preserve">Merge duplicates, remove stale.</t>
  </si>
  <si>
    <t xml:space="preserve">TH-057</t>
  </si>
  <si>
    <t xml:space="preserve">Build the test-plan creator</t>
  </si>
  <si>
    <t xml:space="preserve">Decide scope + priority of what to test.</t>
  </si>
  <si>
    <t xml:space="preserve">TH-058</t>
  </si>
  <si>
    <t xml:space="preserve">Record heal events into memory</t>
  </si>
  <si>
    <t xml:space="preserve">Feed heal events into per-app memory.</t>
  </si>
  <si>
    <t xml:space="preserve">TH-059</t>
  </si>
  <si>
    <t xml:space="preserve">Derive UI scenarios from user flows</t>
  </si>
  <si>
    <t xml:space="preserve">Turn click-flows into scenarios.</t>
  </si>
  <si>
    <t xml:space="preserve">TH-060</t>
  </si>
  <si>
    <t xml:space="preserve">Add compose + run scripts</t>
  </si>
  <si>
    <t xml:space="preserve">Infra: Deploy</t>
  </si>
  <si>
    <t xml:space="preserve">Deployment &amp; Scale</t>
  </si>
  <si>
    <t xml:space="preserve">Easy container startup.</t>
  </si>
  <si>
    <t xml:space="preserve">TH-061</t>
  </si>
  <si>
    <t xml:space="preserve">Add quality + coverage checks</t>
  </si>
  <si>
    <t xml:space="preserve">Flag low-quality/low-coverage tests.</t>
  </si>
  <si>
    <t xml:space="preserve">TH-062</t>
  </si>
  <si>
    <t xml:space="preserve">Add optional AI quality-judge gate</t>
  </si>
  <si>
    <t xml:space="preserve">Optional AI review.</t>
  </si>
  <si>
    <t xml:space="preserve">TH-063</t>
  </si>
  <si>
    <t xml:space="preserve">Add a CI pipeline</t>
  </si>
  <si>
    <t xml:space="preserve">Build/test on each change.</t>
  </si>
  <si>
    <t xml:space="preserve">TH-064</t>
  </si>
  <si>
    <t xml:space="preserve">De-duplicate findings across sources</t>
  </si>
  <si>
    <t xml:space="preserve">Match same endpoint/page across scans.</t>
  </si>
  <si>
    <t xml:space="preserve">TH-065</t>
  </si>
  <si>
    <t xml:space="preserve">Build self-service intake (URL + creds)</t>
  </si>
  <si>
    <t xml:space="preserve">Submit an app to start a run.</t>
  </si>
  <si>
    <t xml:space="preserve">TH-066</t>
  </si>
  <si>
    <t xml:space="preserve">Set up the analytics dependencies</t>
  </si>
  <si>
    <t xml:space="preserve">Add graph-analytics libraries.</t>
  </si>
  <si>
    <t xml:space="preserve">TH-067</t>
  </si>
  <si>
    <t xml:space="preserve">Bundle the graph viewer UI library locally</t>
  </si>
  <si>
    <t xml:space="preserve">Graphs render offline.</t>
  </si>
  <si>
    <t xml:space="preserve">TH-068</t>
  </si>
  <si>
    <t xml:space="preserve">Load the app graph into the analytics engine</t>
  </si>
  <si>
    <t xml:space="preserve">Read the captured graph.</t>
  </si>
  <si>
    <t xml:space="preserve">TH-069</t>
  </si>
  <si>
    <t xml:space="preserve">Make browser install work offline</t>
  </si>
  <si>
    <t xml:space="preserve">Pre-bundle the browser.</t>
  </si>
  <si>
    <t xml:space="preserve">TH-070</t>
  </si>
  <si>
    <t xml:space="preserve">Point installs at internal mirrors</t>
  </si>
  <si>
    <t xml:space="preserve">Install deps from mirrors.</t>
  </si>
  <si>
    <t xml:space="preserve">TH-071</t>
  </si>
  <si>
    <t xml:space="preserve">Score importance + detect communities</t>
  </si>
  <si>
    <t xml:space="preserve">Rank important areas, cluster the app.</t>
  </si>
  <si>
    <t xml:space="preserve">TH-072</t>
  </si>
  <si>
    <t xml:space="preserve">Default to a local model in restricted mode</t>
  </si>
  <si>
    <t xml:space="preserve">Use local model when offline.</t>
  </si>
  <si>
    <t xml:space="preserve">TH-073</t>
  </si>
  <si>
    <t xml:space="preserve">Handle corporate certificate trust</t>
  </si>
  <si>
    <t xml:space="preserve">Trust internal certificates.</t>
  </si>
  <si>
    <t xml:space="preserve">TH-074</t>
  </si>
  <si>
    <t xml:space="preserve">Group the app into named features</t>
  </si>
  <si>
    <t xml:space="preserve">Turn clusters into features.</t>
  </si>
  <si>
    <t xml:space="preserve">TH-075</t>
  </si>
  <si>
    <t xml:space="preserve">Fold the knowledge-sources folder into docs</t>
  </si>
  <si>
    <t xml:space="preserve">Docs</t>
  </si>
  <si>
    <t xml:space="preserve">Cleanup &amp; Tests</t>
  </si>
  <si>
    <t xml:space="preserve">Tidy the outdated placeholder.</t>
  </si>
  <si>
    <t xml:space="preserve">TH-076</t>
  </si>
  <si>
    <t xml:space="preserve">Remove the duplicate UI generator</t>
  </si>
  <si>
    <t xml:space="preserve">Keep one source of truth.</t>
  </si>
  <si>
    <t xml:space="preserve">TH-077</t>
  </si>
  <si>
    <t xml:space="preserve">Find coverage gaps + untested areas</t>
  </si>
  <si>
    <t xml:space="preserve">Compare existing vs tested.</t>
  </si>
  <si>
    <t xml:space="preserve">TH-078</t>
  </si>
  <si>
    <t xml:space="preserve">Resolve the mock-data placeholder</t>
  </si>
  <si>
    <t xml:space="preserve">Build or remove it.</t>
  </si>
  <si>
    <t xml:space="preserve">TH-079</t>
  </si>
  <si>
    <t xml:space="preserve">Define the per-app memory format</t>
  </si>
  <si>
    <t xml:space="preserve">How learned knowledge is stored.</t>
  </si>
  <si>
    <t xml:space="preserve">TH-080</t>
  </si>
  <si>
    <t xml:space="preserve">Add tests for the extractors</t>
  </si>
  <si>
    <t xml:space="preserve">Unit/smoke tests for extractors.</t>
  </si>
  <si>
    <t xml:space="preserve">TH-081</t>
  </si>
  <si>
    <t xml:space="preserve">Build the memory distiller core</t>
  </si>
  <si>
    <t xml:space="preserve">Turn run outcomes into notes.</t>
  </si>
  <si>
    <t xml:space="preserve">TH-082</t>
  </si>
  <si>
    <t xml:space="preserve">Add tests for indexer + knowledge file</t>
  </si>
  <si>
    <t xml:space="preserve">Tests for indexing + KB.</t>
  </si>
  <si>
    <t xml:space="preserve">TH-083</t>
  </si>
  <si>
    <t xml:space="preserve">Add tests for the test runner</t>
  </si>
  <si>
    <t xml:space="preserve">Tests for the runner.</t>
  </si>
  <si>
    <t xml:space="preserve">TH-084</t>
  </si>
  <si>
    <t xml:space="preserve">Add distiller routing + storage</t>
  </si>
  <si>
    <t xml:space="preserve">Route notes to the right files.</t>
  </si>
  <si>
    <t xml:space="preserve">TH-085</t>
  </si>
  <si>
    <t xml:space="preserve">Improve the safe-click crawling pass</t>
  </si>
  <si>
    <t xml:space="preserve">Refine which buttons are clicked.</t>
  </si>
  <si>
    <t xml:space="preserve">TH-086</t>
  </si>
  <si>
    <t xml:space="preserve">Update the architecture overview</t>
  </si>
  <si>
    <t xml:space="preserve">Refresh the architecture doc.</t>
  </si>
  <si>
    <t xml:space="preserve">TH-087</t>
  </si>
  <si>
    <t xml:space="preserve">Add recall tools to fetch notes</t>
  </si>
  <si>
    <t xml:space="preserve">Look up relevant notes.</t>
  </si>
  <si>
    <t xml:space="preserve">TH-088</t>
  </si>
  <si>
    <t xml:space="preserve">Document the knowledge base + schema</t>
  </si>
  <si>
    <t xml:space="preserve">How the knowledge file works.</t>
  </si>
  <si>
    <t xml:space="preserve">TH-089</t>
  </si>
  <si>
    <t xml:space="preserve">Write the CLI command reference</t>
  </si>
  <si>
    <t xml:space="preserve">scan/generate/run/report/plan.</t>
  </si>
  <si>
    <t xml:space="preserve">TH-090</t>
  </si>
  <si>
    <t xml:space="preserve">Build self-healing locator fallbacks</t>
  </si>
  <si>
    <t xml:space="preserve">Deterministic alternates first.</t>
  </si>
  <si>
    <t xml:space="preserve">TH-091</t>
  </si>
  <si>
    <t xml:space="preserve">Document execution + reporting</t>
  </si>
  <si>
    <t xml:space="preserve">How runs + reports work.</t>
  </si>
  <si>
    <t xml:space="preserve">TH-092</t>
  </si>
  <si>
    <t xml:space="preserve">Document the analytics module</t>
  </si>
  <si>
    <t xml:space="preserve">Importance/features/gaps.</t>
  </si>
  <si>
    <t xml:space="preserve">TH-093</t>
  </si>
  <si>
    <t xml:space="preserve">Add AI-assisted locator resolve</t>
  </si>
  <si>
    <t xml:space="preserve">AI suggests an alternate when an element moves.</t>
  </si>
  <si>
    <t xml:space="preserve">TH-094</t>
  </si>
  <si>
    <t xml:space="preserve">Document the memory module</t>
  </si>
  <si>
    <t xml:space="preserve">Per-app skill memory.</t>
  </si>
  <si>
    <t xml:space="preserve">TH-095</t>
  </si>
  <si>
    <t xml:space="preserve">Document self-healing execution</t>
  </si>
  <si>
    <t xml:space="preserve">How healing works + limits.</t>
  </si>
  <si>
    <t xml:space="preserve">TH-096</t>
  </si>
  <si>
    <t xml:space="preserve">Capture the page state for healing</t>
  </si>
  <si>
    <t xml:space="preserve">Snapshot roles/labels/text.</t>
  </si>
  <si>
    <t xml:space="preserve">TH-097</t>
  </si>
  <si>
    <t xml:space="preserve">Write the onboarding guide (add an app)</t>
  </si>
  <si>
    <t xml:space="preserve">How a tester onboards a new app.</t>
  </si>
  <si>
    <t xml:space="preserve">TH-098</t>
  </si>
  <si>
    <t xml:space="preserve">Add heal cache + retry logic</t>
  </si>
  <si>
    <t xml:space="preserve">Remember a successful fix.</t>
  </si>
  <si>
    <t xml:space="preserve">TH-099</t>
  </si>
  <si>
    <t xml:space="preserve">Document the test strategy + 3 gates</t>
  </si>
  <si>
    <t xml:space="preserve">Authenticity/session-safety/self-repair.</t>
  </si>
  <si>
    <t xml:space="preserve">TH-100</t>
  </si>
  <si>
    <t xml:space="preserve">Add sandboxed setup/teardown hooks</t>
  </si>
  <si>
    <t xml:space="preserve">Run hooks in an isolated container.</t>
  </si>
  <si>
    <t xml:space="preserve">TH-101</t>
  </si>
  <si>
    <t xml:space="preserve">Build the container image</t>
  </si>
  <si>
    <t xml:space="preserve">Worker image for the tool.</t>
  </si>
  <si>
    <t xml:space="preserve">TH-102</t>
  </si>
  <si>
    <t xml:space="preserve">Bug-fix &amp; stabilization buffer 2</t>
  </si>
  <si>
    <t xml:space="preserve">Stabilization &amp; Release</t>
  </si>
  <si>
    <t xml:space="preserve">Stabilization / UAT / release.</t>
  </si>
  <si>
    <t xml:space="preserve">TH-103</t>
  </si>
  <si>
    <t xml:space="preserve">Make outputs per-app (no collisions)</t>
  </si>
  <si>
    <t xml:space="preserve">Parallel apps without overwriting.</t>
  </si>
  <si>
    <t xml:space="preserve">TH-104</t>
  </si>
  <si>
    <t xml:space="preserve">Add a job queue + workers</t>
  </si>
  <si>
    <t xml:space="preserve">Process many runs in parallel.</t>
  </si>
  <si>
    <t xml:space="preserve">TH-105</t>
  </si>
  <si>
    <t xml:space="preserve">Add proxy support to crawler + browser</t>
  </si>
  <si>
    <t xml:space="preserve">Reach targets via corporate proxy.</t>
  </si>
  <si>
    <t xml:space="preserve">TH-106</t>
  </si>
  <si>
    <t xml:space="preserve">Add AI button classification for crawling</t>
  </si>
  <si>
    <t xml:space="preserve">Classify safe/unsafe buttons.</t>
  </si>
  <si>
    <t xml:space="preserve">TH-107</t>
  </si>
  <si>
    <t xml:space="preserve">UAT support &amp; feedback fixes</t>
  </si>
  <si>
    <t xml:space="preserve">TH-108</t>
  </si>
  <si>
    <t xml:space="preserve">Write the restricted/offline deploy guide</t>
  </si>
  <si>
    <t xml:space="preserve">Mirrors, local models, offline.</t>
  </si>
  <si>
    <t xml:space="preserve">TH-109</t>
  </si>
  <si>
    <t xml:space="preserve">Write the egress / NetSec proposal</t>
  </si>
  <si>
    <t xml:space="preserve">Allow-list + approval process.</t>
  </si>
  <si>
    <t xml:space="preserve">TH-110</t>
  </si>
  <si>
    <t xml:space="preserve">Build the KT / handover pack</t>
  </si>
  <si>
    <t xml:space="preserve">Knowledge transfer + handover.</t>
  </si>
  <si>
    <t xml:space="preserve">TH-111</t>
  </si>
  <si>
    <t xml:space="preserve">Regression suite + smoke pack</t>
  </si>
  <si>
    <t xml:space="preserve">TH-112</t>
  </si>
  <si>
    <t xml:space="preserve">Integration test pass (end-to-end)</t>
  </si>
  <si>
    <t xml:space="preserve">TH-113</t>
  </si>
  <si>
    <t xml:space="preserve">Documentation &amp; KT polish</t>
  </si>
  <si>
    <t xml:space="preserve">TH-114</t>
  </si>
  <si>
    <t xml:space="preserve">Bug-fix &amp; stabilization buffer 1</t>
  </si>
  <si>
    <t xml:space="preserve">TH-115</t>
  </si>
  <si>
    <t xml:space="preserve">Performance &amp; load hardening</t>
  </si>
  <si>
    <t xml:space="preserve">TH-116</t>
  </si>
  <si>
    <t xml:space="preserve">Security review &amp; remediation</t>
  </si>
  <si>
    <t xml:space="preserve">TH-117</t>
  </si>
  <si>
    <t xml:space="preserve">Scaffold the web dashboard</t>
  </si>
  <si>
    <t xml:space="preserve">Deferred (post Sep 30)</t>
  </si>
  <si>
    <t xml:space="preserve">Initial web UI (deferred).</t>
  </si>
  <si>
    <t xml:space="preserve">TH-118</t>
  </si>
  <si>
    <t xml:space="preserve">Design a database-backed knowledge store</t>
  </si>
  <si>
    <t xml:space="preserve">Infra: DB</t>
  </si>
  <si>
    <t xml:space="preserve">Plan the DB schema (optional).</t>
  </si>
  <si>
    <t xml:space="preserve">TH-119</t>
  </si>
  <si>
    <t xml:space="preserve">Production cutover + handover sign-off</t>
  </si>
  <si>
    <t xml:space="preserve">TH-120</t>
  </si>
  <si>
    <t xml:space="preserve">Build the web results view</t>
  </si>
  <si>
    <t xml:space="preserve">Browse results in the UI (deferred).</t>
  </si>
  <si>
    <t xml:space="preserve">TH-121</t>
  </si>
  <si>
    <t xml:space="preserve">Implement the database store</t>
  </si>
  <si>
    <t xml:space="preserve">Replace file store with DB (optional).</t>
  </si>
  <si>
    <t xml:space="preserve">TH-122</t>
  </si>
  <si>
    <t xml:space="preserve">Backlog grooming + estimation (ongoing)</t>
  </si>
  <si>
    <t xml:space="preserve">Recurring refinement.</t>
  </si>
  <si>
    <t xml:space="preserve">TH-123</t>
  </si>
  <si>
    <t xml:space="preserve">Sprint demos + stakeholder reporting</t>
  </si>
  <si>
    <t xml:space="preserve">Bi-weekly demos + status.</t>
  </si>
  <si>
    <t xml:space="preserve">TH-124</t>
  </si>
  <si>
    <t xml:space="preserve">Track risks + external dependencies</t>
  </si>
  <si>
    <t xml:space="preserve">NetSec, specs, test accounts.</t>
  </si>
  <si>
    <t xml:space="preserve">TH-125</t>
  </si>
  <si>
    <t xml:space="preserve">Release + UAT coordination</t>
  </si>
  <si>
    <t xml:space="preserve">Final release + handover.</t>
  </si>
  <si>
    <t xml:space="preserve">Total</t>
  </si>
  <si>
    <t xml:space="preserve">Deferred</t>
  </si>
  <si>
    <t xml:space="preserve">Start</t>
  </si>
  <si>
    <t xml:space="preserve">End</t>
  </si>
  <si>
    <t xml:space="preserve">TOTAL / Deadline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</si>
</sst>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7"/>
    <col collapsed="false" customWidth="true" hidden="false" outlineLevel="0" max="10" min="9" style="0" width="13"/>
    <col collapsed="false" customWidth="true" hidden="false" outlineLevel="0" max="11" min="11" style="0" width="5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4" t="s">
        <v>17</v>
      </c>
      <c r="H2" s="4" t="n">
        <v>1</v>
      </c>
      <c r="I2" s="5" t="n">
        <v>46157</v>
      </c>
      <c r="J2" s="5" t="n">
        <v>46157</v>
      </c>
      <c r="K2" s="3" t="s">
        <v>18</v>
      </c>
    </row>
    <row r="3" customFormat="false" ht="23.85" hidden="false" customHeight="false" outlineLevel="0" collapsed="false">
      <c r="A3" s="2" t="s">
        <v>19</v>
      </c>
      <c r="B3" s="2" t="s">
        <v>12</v>
      </c>
      <c r="C3" s="3" t="s">
        <v>20</v>
      </c>
      <c r="D3" s="2" t="s">
        <v>21</v>
      </c>
      <c r="E3" s="2" t="s">
        <v>22</v>
      </c>
      <c r="F3" s="2" t="s">
        <v>16</v>
      </c>
      <c r="G3" s="4" t="s">
        <v>17</v>
      </c>
      <c r="H3" s="4" t="n">
        <v>1</v>
      </c>
      <c r="I3" s="5" t="n">
        <v>46160</v>
      </c>
      <c r="J3" s="5" t="n">
        <v>46160</v>
      </c>
      <c r="K3" s="3" t="s">
        <v>23</v>
      </c>
    </row>
    <row r="4" customFormat="false" ht="15" hidden="false" customHeight="false" outlineLevel="0" collapsed="false">
      <c r="A4" s="2" t="s">
        <v>24</v>
      </c>
      <c r="B4" s="2" t="s">
        <v>12</v>
      </c>
      <c r="C4" s="3" t="s">
        <v>25</v>
      </c>
      <c r="D4" s="2" t="s">
        <v>26</v>
      </c>
      <c r="E4" s="2" t="s">
        <v>22</v>
      </c>
      <c r="F4" s="2" t="s">
        <v>16</v>
      </c>
      <c r="G4" s="4" t="s">
        <v>17</v>
      </c>
      <c r="H4" s="4" t="n">
        <v>1</v>
      </c>
      <c r="I4" s="5" t="n">
        <v>46161</v>
      </c>
      <c r="J4" s="5" t="n">
        <v>46161</v>
      </c>
      <c r="K4" s="3" t="s">
        <v>27</v>
      </c>
    </row>
    <row r="5" customFormat="false" ht="15" hidden="false" customHeight="false" outlineLevel="0" collapsed="false">
      <c r="A5" s="6" t="s">
        <v>28</v>
      </c>
      <c r="B5" s="6" t="s">
        <v>12</v>
      </c>
      <c r="C5" s="7" t="s">
        <v>29</v>
      </c>
      <c r="D5" s="6" t="s">
        <v>30</v>
      </c>
      <c r="E5" s="6" t="s">
        <v>31</v>
      </c>
      <c r="F5" s="6" t="s">
        <v>32</v>
      </c>
      <c r="G5" s="8" t="s">
        <v>33</v>
      </c>
      <c r="H5" s="8" t="n">
        <v>1</v>
      </c>
      <c r="I5" s="9" t="n">
        <v>46157</v>
      </c>
      <c r="J5" s="9" t="n">
        <v>46161</v>
      </c>
      <c r="K5" s="7" t="s">
        <v>34</v>
      </c>
    </row>
    <row r="6" customFormat="false" ht="15" hidden="false" customHeight="false" outlineLevel="0" collapsed="false">
      <c r="A6" s="2" t="s">
        <v>35</v>
      </c>
      <c r="B6" s="2" t="s">
        <v>12</v>
      </c>
      <c r="C6" s="3" t="s">
        <v>36</v>
      </c>
      <c r="D6" s="2" t="s">
        <v>21</v>
      </c>
      <c r="E6" s="2" t="s">
        <v>22</v>
      </c>
      <c r="F6" s="2" t="s">
        <v>16</v>
      </c>
      <c r="G6" s="4" t="s">
        <v>17</v>
      </c>
      <c r="H6" s="4" t="n">
        <v>1</v>
      </c>
      <c r="I6" s="5" t="n">
        <v>46162</v>
      </c>
      <c r="J6" s="5" t="n">
        <v>46162</v>
      </c>
      <c r="K6" s="3" t="s">
        <v>37</v>
      </c>
    </row>
    <row r="7" customFormat="false" ht="23.85" hidden="false" customHeight="false" outlineLevel="0" collapsed="false">
      <c r="A7" s="2" t="s">
        <v>38</v>
      </c>
      <c r="B7" s="2" t="s">
        <v>12</v>
      </c>
      <c r="C7" s="3" t="s">
        <v>39</v>
      </c>
      <c r="D7" s="2" t="s">
        <v>26</v>
      </c>
      <c r="E7" s="2" t="s">
        <v>22</v>
      </c>
      <c r="F7" s="2" t="s">
        <v>16</v>
      </c>
      <c r="G7" s="4" t="s">
        <v>17</v>
      </c>
      <c r="H7" s="4" t="n">
        <v>1</v>
      </c>
      <c r="I7" s="5" t="n">
        <v>46163</v>
      </c>
      <c r="J7" s="5" t="n">
        <v>46163</v>
      </c>
      <c r="K7" s="3" t="s">
        <v>40</v>
      </c>
    </row>
    <row r="8" customFormat="false" ht="23.85" hidden="false" customHeight="false" outlineLevel="0" collapsed="false">
      <c r="A8" s="2" t="s">
        <v>41</v>
      </c>
      <c r="B8" s="2" t="s">
        <v>12</v>
      </c>
      <c r="C8" s="3" t="s">
        <v>42</v>
      </c>
      <c r="D8" s="2" t="s">
        <v>26</v>
      </c>
      <c r="E8" s="2" t="s">
        <v>22</v>
      </c>
      <c r="F8" s="2" t="s">
        <v>16</v>
      </c>
      <c r="G8" s="4" t="s">
        <v>17</v>
      </c>
      <c r="H8" s="4" t="n">
        <v>2</v>
      </c>
      <c r="I8" s="5" t="n">
        <v>46164</v>
      </c>
      <c r="J8" s="5" t="n">
        <v>46164</v>
      </c>
      <c r="K8" s="3" t="s">
        <v>43</v>
      </c>
    </row>
    <row r="9" customFormat="false" ht="23.85" hidden="false" customHeight="false" outlineLevel="0" collapsed="false">
      <c r="A9" s="2" t="s">
        <v>44</v>
      </c>
      <c r="B9" s="2" t="s">
        <v>12</v>
      </c>
      <c r="C9" s="3" t="s">
        <v>45</v>
      </c>
      <c r="D9" s="2" t="s">
        <v>26</v>
      </c>
      <c r="E9" s="2" t="s">
        <v>22</v>
      </c>
      <c r="F9" s="2" t="s">
        <v>16</v>
      </c>
      <c r="G9" s="4" t="s">
        <v>17</v>
      </c>
      <c r="H9" s="4" t="n">
        <v>2</v>
      </c>
      <c r="I9" s="5" t="n">
        <v>46167</v>
      </c>
      <c r="J9" s="5" t="n">
        <v>46167</v>
      </c>
      <c r="K9" s="3" t="s">
        <v>46</v>
      </c>
    </row>
    <row r="10" customFormat="false" ht="15" hidden="false" customHeight="false" outlineLevel="0" collapsed="false">
      <c r="A10" s="2" t="s">
        <v>47</v>
      </c>
      <c r="B10" s="2" t="s">
        <v>12</v>
      </c>
      <c r="C10" s="3" t="s">
        <v>48</v>
      </c>
      <c r="D10" s="2" t="s">
        <v>26</v>
      </c>
      <c r="E10" s="2" t="s">
        <v>22</v>
      </c>
      <c r="F10" s="2" t="s">
        <v>16</v>
      </c>
      <c r="G10" s="4" t="s">
        <v>17</v>
      </c>
      <c r="H10" s="4" t="n">
        <v>2</v>
      </c>
      <c r="I10" s="5" t="n">
        <v>46168</v>
      </c>
      <c r="J10" s="5" t="n">
        <v>46168</v>
      </c>
      <c r="K10" s="3" t="s">
        <v>49</v>
      </c>
    </row>
    <row r="11" customFormat="false" ht="23.85" hidden="false" customHeight="false" outlineLevel="0" collapsed="false">
      <c r="A11" s="2" t="s">
        <v>50</v>
      </c>
      <c r="B11" s="2" t="s">
        <v>12</v>
      </c>
      <c r="C11" s="3" t="s">
        <v>51</v>
      </c>
      <c r="D11" s="2" t="s">
        <v>52</v>
      </c>
      <c r="E11" s="2" t="s">
        <v>22</v>
      </c>
      <c r="F11" s="2" t="s">
        <v>16</v>
      </c>
      <c r="G11" s="4" t="s">
        <v>17</v>
      </c>
      <c r="H11" s="4" t="n">
        <v>2</v>
      </c>
      <c r="I11" s="5" t="n">
        <v>46169</v>
      </c>
      <c r="J11" s="5" t="n">
        <v>46169</v>
      </c>
      <c r="K11" s="3" t="s">
        <v>53</v>
      </c>
    </row>
    <row r="12" customFormat="false" ht="23.85" hidden="false" customHeight="false" outlineLevel="0" collapsed="false">
      <c r="A12" s="2" t="s">
        <v>54</v>
      </c>
      <c r="B12" s="2" t="s">
        <v>12</v>
      </c>
      <c r="C12" s="3" t="s">
        <v>55</v>
      </c>
      <c r="D12" s="2" t="s">
        <v>52</v>
      </c>
      <c r="E12" s="2" t="s">
        <v>22</v>
      </c>
      <c r="F12" s="2" t="s">
        <v>16</v>
      </c>
      <c r="G12" s="4" t="s">
        <v>17</v>
      </c>
      <c r="H12" s="4" t="n">
        <v>2</v>
      </c>
      <c r="I12" s="5" t="n">
        <v>46170</v>
      </c>
      <c r="J12" s="5" t="n">
        <v>46170</v>
      </c>
      <c r="K12" s="3" t="s">
        <v>56</v>
      </c>
    </row>
    <row r="13" customFormat="false" ht="23.85" hidden="false" customHeight="false" outlineLevel="0" collapsed="false">
      <c r="A13" s="2" t="s">
        <v>57</v>
      </c>
      <c r="B13" s="2" t="s">
        <v>12</v>
      </c>
      <c r="C13" s="3" t="s">
        <v>58</v>
      </c>
      <c r="D13" s="2" t="s">
        <v>21</v>
      </c>
      <c r="E13" s="2" t="s">
        <v>22</v>
      </c>
      <c r="F13" s="2" t="s">
        <v>16</v>
      </c>
      <c r="G13" s="4" t="s">
        <v>17</v>
      </c>
      <c r="H13" s="4" t="n">
        <v>3</v>
      </c>
      <c r="I13" s="5" t="n">
        <v>46171</v>
      </c>
      <c r="J13" s="5" t="n">
        <v>46171</v>
      </c>
      <c r="K13" s="3" t="s">
        <v>59</v>
      </c>
    </row>
    <row r="14" customFormat="false" ht="23.85" hidden="false" customHeight="false" outlineLevel="0" collapsed="false">
      <c r="A14" s="2" t="s">
        <v>60</v>
      </c>
      <c r="B14" s="2" t="s">
        <v>12</v>
      </c>
      <c r="C14" s="3" t="s">
        <v>61</v>
      </c>
      <c r="D14" s="2" t="s">
        <v>21</v>
      </c>
      <c r="E14" s="2" t="s">
        <v>22</v>
      </c>
      <c r="F14" s="2" t="s">
        <v>16</v>
      </c>
      <c r="G14" s="4" t="s">
        <v>17</v>
      </c>
      <c r="H14" s="4" t="n">
        <v>3</v>
      </c>
      <c r="I14" s="5" t="n">
        <v>46174</v>
      </c>
      <c r="J14" s="5" t="n">
        <v>46174</v>
      </c>
      <c r="K14" s="3" t="s">
        <v>62</v>
      </c>
    </row>
    <row r="15" customFormat="false" ht="15" hidden="false" customHeight="false" outlineLevel="0" collapsed="false">
      <c r="A15" s="10" t="s">
        <v>63</v>
      </c>
      <c r="B15" s="10" t="s">
        <v>12</v>
      </c>
      <c r="C15" s="11" t="s">
        <v>64</v>
      </c>
      <c r="D15" s="10" t="s">
        <v>52</v>
      </c>
      <c r="E15" s="10" t="s">
        <v>65</v>
      </c>
      <c r="F15" s="10" t="s">
        <v>66</v>
      </c>
      <c r="G15" s="12" t="s">
        <v>33</v>
      </c>
      <c r="H15" s="12" t="n">
        <v>3</v>
      </c>
      <c r="I15" s="13" t="n">
        <v>46174</v>
      </c>
      <c r="J15" s="13" t="n">
        <v>46174</v>
      </c>
      <c r="K15" s="11" t="s">
        <v>67</v>
      </c>
    </row>
    <row r="16" customFormat="false" ht="15" hidden="false" customHeight="false" outlineLevel="0" collapsed="false">
      <c r="A16" s="2" t="s">
        <v>68</v>
      </c>
      <c r="B16" s="2" t="s">
        <v>12</v>
      </c>
      <c r="C16" s="3" t="s">
        <v>69</v>
      </c>
      <c r="D16" s="2" t="s">
        <v>21</v>
      </c>
      <c r="E16" s="2" t="s">
        <v>22</v>
      </c>
      <c r="F16" s="2" t="s">
        <v>16</v>
      </c>
      <c r="G16" s="4" t="s">
        <v>17</v>
      </c>
      <c r="H16" s="4" t="n">
        <v>3</v>
      </c>
      <c r="I16" s="5" t="n">
        <v>46175</v>
      </c>
      <c r="J16" s="5" t="n">
        <v>46175</v>
      </c>
      <c r="K16" s="3" t="s">
        <v>70</v>
      </c>
    </row>
    <row r="17" customFormat="false" ht="15" hidden="false" customHeight="false" outlineLevel="0" collapsed="false">
      <c r="A17" s="10" t="s">
        <v>71</v>
      </c>
      <c r="B17" s="10" t="s">
        <v>12</v>
      </c>
      <c r="C17" s="11" t="s">
        <v>72</v>
      </c>
      <c r="D17" s="10" t="s">
        <v>73</v>
      </c>
      <c r="E17" s="10" t="s">
        <v>65</v>
      </c>
      <c r="F17" s="10" t="s">
        <v>66</v>
      </c>
      <c r="G17" s="12" t="s">
        <v>33</v>
      </c>
      <c r="H17" s="12" t="n">
        <v>3</v>
      </c>
      <c r="I17" s="13" t="n">
        <v>46175</v>
      </c>
      <c r="J17" s="13" t="n">
        <v>46175</v>
      </c>
      <c r="K17" s="11" t="s">
        <v>74</v>
      </c>
    </row>
    <row r="18" customFormat="false" ht="15" hidden="false" customHeight="false" outlineLevel="0" collapsed="false">
      <c r="A18" s="2" t="s">
        <v>75</v>
      </c>
      <c r="B18" s="2" t="s">
        <v>12</v>
      </c>
      <c r="C18" s="3" t="s">
        <v>76</v>
      </c>
      <c r="D18" s="2" t="s">
        <v>77</v>
      </c>
      <c r="E18" s="2" t="s">
        <v>22</v>
      </c>
      <c r="F18" s="2" t="s">
        <v>16</v>
      </c>
      <c r="G18" s="4" t="s">
        <v>17</v>
      </c>
      <c r="H18" s="4" t="n">
        <v>3</v>
      </c>
      <c r="I18" s="5" t="n">
        <v>46176</v>
      </c>
      <c r="J18" s="5" t="n">
        <v>46176</v>
      </c>
      <c r="K18" s="3" t="s">
        <v>78</v>
      </c>
    </row>
    <row r="19" customFormat="false" ht="15" hidden="false" customHeight="false" outlineLevel="0" collapsed="false">
      <c r="A19" s="10" t="s">
        <v>79</v>
      </c>
      <c r="B19" s="10" t="s">
        <v>12</v>
      </c>
      <c r="C19" s="11" t="s">
        <v>80</v>
      </c>
      <c r="D19" s="10" t="s">
        <v>81</v>
      </c>
      <c r="E19" s="10" t="s">
        <v>65</v>
      </c>
      <c r="F19" s="10" t="s">
        <v>66</v>
      </c>
      <c r="G19" s="12" t="s">
        <v>33</v>
      </c>
      <c r="H19" s="12" t="n">
        <v>3</v>
      </c>
      <c r="I19" s="13" t="n">
        <v>46176</v>
      </c>
      <c r="J19" s="13" t="n">
        <v>46176</v>
      </c>
      <c r="K19" s="11" t="s">
        <v>82</v>
      </c>
    </row>
    <row r="20" customFormat="false" ht="23.85" hidden="false" customHeight="false" outlineLevel="0" collapsed="false">
      <c r="A20" s="2" t="s">
        <v>83</v>
      </c>
      <c r="B20" s="2" t="s">
        <v>12</v>
      </c>
      <c r="C20" s="3" t="s">
        <v>84</v>
      </c>
      <c r="D20" s="2" t="s">
        <v>85</v>
      </c>
      <c r="E20" s="2" t="s">
        <v>85</v>
      </c>
      <c r="F20" s="2" t="s">
        <v>16</v>
      </c>
      <c r="G20" s="4" t="s">
        <v>17</v>
      </c>
      <c r="H20" s="4" t="n">
        <v>3</v>
      </c>
      <c r="I20" s="5" t="n">
        <v>46177</v>
      </c>
      <c r="J20" s="5" t="n">
        <v>46177</v>
      </c>
      <c r="K20" s="3" t="s">
        <v>86</v>
      </c>
    </row>
    <row r="21" customFormat="false" ht="15" hidden="false" customHeight="false" outlineLevel="0" collapsed="false">
      <c r="A21" s="10" t="s">
        <v>87</v>
      </c>
      <c r="B21" s="10" t="s">
        <v>12</v>
      </c>
      <c r="C21" s="11" t="s">
        <v>88</v>
      </c>
      <c r="D21" s="10" t="s">
        <v>73</v>
      </c>
      <c r="E21" s="10" t="s">
        <v>65</v>
      </c>
      <c r="F21" s="10" t="s">
        <v>66</v>
      </c>
      <c r="G21" s="12" t="s">
        <v>33</v>
      </c>
      <c r="H21" s="12" t="n">
        <v>3</v>
      </c>
      <c r="I21" s="13" t="n">
        <v>46177</v>
      </c>
      <c r="J21" s="13" t="n">
        <v>46177</v>
      </c>
      <c r="K21" s="11" t="s">
        <v>89</v>
      </c>
    </row>
    <row r="22" customFormat="false" ht="23.85" hidden="false" customHeight="false" outlineLevel="0" collapsed="false">
      <c r="A22" s="2" t="s">
        <v>90</v>
      </c>
      <c r="B22" s="2" t="s">
        <v>12</v>
      </c>
      <c r="C22" s="3" t="s">
        <v>91</v>
      </c>
      <c r="D22" s="2" t="s">
        <v>85</v>
      </c>
      <c r="E22" s="2" t="s">
        <v>85</v>
      </c>
      <c r="F22" s="2" t="s">
        <v>16</v>
      </c>
      <c r="G22" s="4" t="s">
        <v>17</v>
      </c>
      <c r="H22" s="4" t="n">
        <v>4</v>
      </c>
      <c r="I22" s="5" t="n">
        <v>46178</v>
      </c>
      <c r="J22" s="5" t="n">
        <v>46178</v>
      </c>
      <c r="K22" s="3" t="s">
        <v>92</v>
      </c>
    </row>
    <row r="23" customFormat="false" ht="15" hidden="false" customHeight="false" outlineLevel="0" collapsed="false">
      <c r="A23" s="10" t="s">
        <v>93</v>
      </c>
      <c r="B23" s="10" t="s">
        <v>12</v>
      </c>
      <c r="C23" s="11" t="s">
        <v>94</v>
      </c>
      <c r="D23" s="10" t="s">
        <v>14</v>
      </c>
      <c r="E23" s="10" t="s">
        <v>65</v>
      </c>
      <c r="F23" s="10" t="s">
        <v>66</v>
      </c>
      <c r="G23" s="12" t="s">
        <v>33</v>
      </c>
      <c r="H23" s="12" t="n">
        <v>4</v>
      </c>
      <c r="I23" s="13" t="n">
        <v>46178</v>
      </c>
      <c r="J23" s="13" t="n">
        <v>46178</v>
      </c>
      <c r="K23" s="11" t="s">
        <v>95</v>
      </c>
    </row>
    <row r="24" customFormat="false" ht="15" hidden="false" customHeight="false" outlineLevel="0" collapsed="false">
      <c r="A24" s="2" t="s">
        <v>96</v>
      </c>
      <c r="B24" s="2" t="s">
        <v>12</v>
      </c>
      <c r="C24" s="3" t="s">
        <v>97</v>
      </c>
      <c r="D24" s="2" t="s">
        <v>85</v>
      </c>
      <c r="E24" s="2" t="s">
        <v>85</v>
      </c>
      <c r="F24" s="2" t="s">
        <v>16</v>
      </c>
      <c r="G24" s="4" t="s">
        <v>17</v>
      </c>
      <c r="H24" s="4" t="n">
        <v>4</v>
      </c>
      <c r="I24" s="5" t="n">
        <v>46181</v>
      </c>
      <c r="J24" s="5" t="n">
        <v>46181</v>
      </c>
      <c r="K24" s="3" t="s">
        <v>98</v>
      </c>
    </row>
    <row r="25" customFormat="false" ht="23.85" hidden="false" customHeight="false" outlineLevel="0" collapsed="false">
      <c r="A25" s="2" t="s">
        <v>99</v>
      </c>
      <c r="B25" s="2" t="s">
        <v>12</v>
      </c>
      <c r="C25" s="3" t="s">
        <v>100</v>
      </c>
      <c r="D25" s="2" t="s">
        <v>101</v>
      </c>
      <c r="E25" s="2" t="s">
        <v>102</v>
      </c>
      <c r="F25" s="2" t="s">
        <v>16</v>
      </c>
      <c r="G25" s="4" t="s">
        <v>17</v>
      </c>
      <c r="H25" s="4" t="n">
        <v>4</v>
      </c>
      <c r="I25" s="5" t="n">
        <v>46182</v>
      </c>
      <c r="J25" s="5" t="n">
        <v>46182</v>
      </c>
      <c r="K25" s="3" t="s">
        <v>103</v>
      </c>
    </row>
    <row r="26" customFormat="false" ht="15" hidden="false" customHeight="false" outlineLevel="0" collapsed="false">
      <c r="A26" s="10" t="s">
        <v>104</v>
      </c>
      <c r="B26" s="10" t="s">
        <v>12</v>
      </c>
      <c r="C26" s="11" t="s">
        <v>105</v>
      </c>
      <c r="D26" s="10" t="s">
        <v>106</v>
      </c>
      <c r="E26" s="10" t="s">
        <v>65</v>
      </c>
      <c r="F26" s="10" t="s">
        <v>66</v>
      </c>
      <c r="G26" s="12" t="s">
        <v>33</v>
      </c>
      <c r="H26" s="12" t="n">
        <v>4</v>
      </c>
      <c r="I26" s="13" t="n">
        <v>46181</v>
      </c>
      <c r="J26" s="13" t="n">
        <v>46182</v>
      </c>
      <c r="K26" s="11" t="s">
        <v>107</v>
      </c>
    </row>
    <row r="27" customFormat="false" ht="15" hidden="false" customHeight="false" outlineLevel="0" collapsed="false">
      <c r="A27" s="2" t="s">
        <v>108</v>
      </c>
      <c r="B27" s="2" t="s">
        <v>12</v>
      </c>
      <c r="C27" s="3" t="s">
        <v>109</v>
      </c>
      <c r="D27" s="2" t="s">
        <v>110</v>
      </c>
      <c r="E27" s="2" t="s">
        <v>102</v>
      </c>
      <c r="F27" s="2" t="s">
        <v>16</v>
      </c>
      <c r="G27" s="4" t="s">
        <v>17</v>
      </c>
      <c r="H27" s="4" t="n">
        <v>4</v>
      </c>
      <c r="I27" s="5" t="n">
        <v>46183</v>
      </c>
      <c r="J27" s="5" t="n">
        <v>46183</v>
      </c>
      <c r="K27" s="3" t="s">
        <v>111</v>
      </c>
    </row>
    <row r="28" customFormat="false" ht="15" hidden="false" customHeight="false" outlineLevel="0" collapsed="false">
      <c r="A28" s="10" t="s">
        <v>112</v>
      </c>
      <c r="B28" s="10" t="s">
        <v>12</v>
      </c>
      <c r="C28" s="11" t="s">
        <v>113</v>
      </c>
      <c r="D28" s="10" t="s">
        <v>14</v>
      </c>
      <c r="E28" s="10" t="s">
        <v>65</v>
      </c>
      <c r="F28" s="10" t="s">
        <v>66</v>
      </c>
      <c r="G28" s="12" t="s">
        <v>33</v>
      </c>
      <c r="H28" s="12" t="n">
        <v>4</v>
      </c>
      <c r="I28" s="13" t="n">
        <v>46183</v>
      </c>
      <c r="J28" s="13" t="n">
        <v>46183</v>
      </c>
      <c r="K28" s="11" t="s">
        <v>114</v>
      </c>
    </row>
    <row r="29" customFormat="false" ht="15" hidden="false" customHeight="false" outlineLevel="0" collapsed="false">
      <c r="A29" s="2" t="s">
        <v>115</v>
      </c>
      <c r="B29" s="2" t="s">
        <v>12</v>
      </c>
      <c r="C29" s="3" t="s">
        <v>116</v>
      </c>
      <c r="D29" s="2" t="s">
        <v>81</v>
      </c>
      <c r="E29" s="2" t="s">
        <v>102</v>
      </c>
      <c r="F29" s="2" t="s">
        <v>16</v>
      </c>
      <c r="G29" s="4" t="s">
        <v>17</v>
      </c>
      <c r="H29" s="4" t="n">
        <v>4</v>
      </c>
      <c r="I29" s="5" t="n">
        <v>46184</v>
      </c>
      <c r="J29" s="5" t="n">
        <v>46184</v>
      </c>
      <c r="K29" s="3" t="s">
        <v>117</v>
      </c>
    </row>
    <row r="30" customFormat="false" ht="15" hidden="false" customHeight="false" outlineLevel="0" collapsed="false">
      <c r="A30" s="10" t="s">
        <v>118</v>
      </c>
      <c r="B30" s="10" t="s">
        <v>12</v>
      </c>
      <c r="C30" s="11" t="s">
        <v>119</v>
      </c>
      <c r="D30" s="10" t="s">
        <v>120</v>
      </c>
      <c r="E30" s="10" t="s">
        <v>65</v>
      </c>
      <c r="F30" s="10" t="s">
        <v>66</v>
      </c>
      <c r="G30" s="12" t="s">
        <v>33</v>
      </c>
      <c r="H30" s="12" t="n">
        <v>4</v>
      </c>
      <c r="I30" s="13" t="n">
        <v>46184</v>
      </c>
      <c r="J30" s="13" t="n">
        <v>46184</v>
      </c>
      <c r="K30" s="11" t="s">
        <v>121</v>
      </c>
    </row>
    <row r="31" customFormat="false" ht="15" hidden="false" customHeight="false" outlineLevel="0" collapsed="false">
      <c r="A31" s="2" t="s">
        <v>122</v>
      </c>
      <c r="B31" s="2" t="s">
        <v>12</v>
      </c>
      <c r="C31" s="3" t="s">
        <v>123</v>
      </c>
      <c r="D31" s="2" t="s">
        <v>124</v>
      </c>
      <c r="E31" s="2" t="s">
        <v>124</v>
      </c>
      <c r="F31" s="2" t="s">
        <v>16</v>
      </c>
      <c r="G31" s="4" t="s">
        <v>17</v>
      </c>
      <c r="H31" s="4" t="n">
        <v>5</v>
      </c>
      <c r="I31" s="5" t="n">
        <v>46185</v>
      </c>
      <c r="J31" s="5" t="n">
        <v>46185</v>
      </c>
      <c r="K31" s="3" t="s">
        <v>125</v>
      </c>
    </row>
    <row r="32" customFormat="false" ht="15" hidden="false" customHeight="false" outlineLevel="0" collapsed="false">
      <c r="A32" s="10" t="s">
        <v>126</v>
      </c>
      <c r="B32" s="10" t="s">
        <v>12</v>
      </c>
      <c r="C32" s="11" t="s">
        <v>127</v>
      </c>
      <c r="D32" s="10" t="s">
        <v>120</v>
      </c>
      <c r="E32" s="10" t="s">
        <v>65</v>
      </c>
      <c r="F32" s="10" t="s">
        <v>66</v>
      </c>
      <c r="G32" s="12" t="s">
        <v>33</v>
      </c>
      <c r="H32" s="12" t="n">
        <v>5</v>
      </c>
      <c r="I32" s="13" t="n">
        <v>46185</v>
      </c>
      <c r="J32" s="13" t="n">
        <v>46185</v>
      </c>
      <c r="K32" s="11" t="s">
        <v>128</v>
      </c>
    </row>
    <row r="33" customFormat="false" ht="15" hidden="false" customHeight="false" outlineLevel="0" collapsed="false">
      <c r="A33" s="10" t="s">
        <v>129</v>
      </c>
      <c r="B33" s="10" t="s">
        <v>12</v>
      </c>
      <c r="C33" s="11" t="s">
        <v>130</v>
      </c>
      <c r="D33" s="10" t="s">
        <v>14</v>
      </c>
      <c r="E33" s="10" t="s">
        <v>65</v>
      </c>
      <c r="F33" s="10" t="s">
        <v>66</v>
      </c>
      <c r="G33" s="12" t="s">
        <v>33</v>
      </c>
      <c r="H33" s="12" t="n">
        <v>5</v>
      </c>
      <c r="I33" s="13" t="n">
        <v>46188</v>
      </c>
      <c r="J33" s="13" t="n">
        <v>46188</v>
      </c>
      <c r="K33" s="11" t="s">
        <v>131</v>
      </c>
    </row>
    <row r="34" customFormat="false" ht="15" hidden="false" customHeight="false" outlineLevel="0" collapsed="false">
      <c r="A34" s="14" t="s">
        <v>132</v>
      </c>
      <c r="B34" s="14" t="s">
        <v>12</v>
      </c>
      <c r="C34" s="15" t="s">
        <v>133</v>
      </c>
      <c r="D34" s="14" t="s">
        <v>124</v>
      </c>
      <c r="E34" s="14" t="s">
        <v>65</v>
      </c>
      <c r="F34" s="14" t="s">
        <v>16</v>
      </c>
      <c r="G34" s="16" t="s">
        <v>33</v>
      </c>
      <c r="H34" s="16" t="n">
        <v>5</v>
      </c>
      <c r="I34" s="17" t="n">
        <v>46189</v>
      </c>
      <c r="J34" s="17" t="n">
        <v>46189</v>
      </c>
      <c r="K34" s="15" t="s">
        <v>134</v>
      </c>
    </row>
    <row r="35" customFormat="false" ht="15" hidden="false" customHeight="false" outlineLevel="0" collapsed="false">
      <c r="A35" s="10" t="s">
        <v>135</v>
      </c>
      <c r="B35" s="10" t="s">
        <v>12</v>
      </c>
      <c r="C35" s="11" t="s">
        <v>136</v>
      </c>
      <c r="D35" s="10" t="s">
        <v>110</v>
      </c>
      <c r="E35" s="10" t="s">
        <v>65</v>
      </c>
      <c r="F35" s="10" t="s">
        <v>66</v>
      </c>
      <c r="G35" s="12" t="s">
        <v>33</v>
      </c>
      <c r="H35" s="12" t="n">
        <v>5</v>
      </c>
      <c r="I35" s="13" t="n">
        <v>46189</v>
      </c>
      <c r="J35" s="13" t="n">
        <v>46189</v>
      </c>
      <c r="K35" s="11" t="s">
        <v>137</v>
      </c>
    </row>
    <row r="36" customFormat="false" ht="15" hidden="false" customHeight="false" outlineLevel="0" collapsed="false">
      <c r="A36" s="10" t="s">
        <v>138</v>
      </c>
      <c r="B36" s="10" t="s">
        <v>12</v>
      </c>
      <c r="C36" s="11" t="s">
        <v>139</v>
      </c>
      <c r="D36" s="10" t="s">
        <v>14</v>
      </c>
      <c r="E36" s="10" t="s">
        <v>65</v>
      </c>
      <c r="F36" s="10" t="s">
        <v>66</v>
      </c>
      <c r="G36" s="12" t="s">
        <v>33</v>
      </c>
      <c r="H36" s="12" t="n">
        <v>5</v>
      </c>
      <c r="I36" s="13" t="n">
        <v>46190</v>
      </c>
      <c r="J36" s="13" t="n">
        <v>46190</v>
      </c>
      <c r="K36" s="11" t="s">
        <v>140</v>
      </c>
    </row>
    <row r="37" customFormat="false" ht="15" hidden="false" customHeight="false" outlineLevel="0" collapsed="false">
      <c r="A37" s="14" t="s">
        <v>141</v>
      </c>
      <c r="B37" s="14" t="s">
        <v>12</v>
      </c>
      <c r="C37" s="15" t="s">
        <v>142</v>
      </c>
      <c r="D37" s="14" t="s">
        <v>124</v>
      </c>
      <c r="E37" s="14" t="s">
        <v>65</v>
      </c>
      <c r="F37" s="14" t="s">
        <v>16</v>
      </c>
      <c r="G37" s="16" t="s">
        <v>33</v>
      </c>
      <c r="H37" s="16" t="n">
        <v>5</v>
      </c>
      <c r="I37" s="17" t="n">
        <v>46190</v>
      </c>
      <c r="J37" s="17" t="n">
        <v>46191</v>
      </c>
      <c r="K37" s="15" t="s">
        <v>143</v>
      </c>
    </row>
    <row r="38" customFormat="false" ht="15" hidden="false" customHeight="false" outlineLevel="0" collapsed="false">
      <c r="A38" s="10" t="s">
        <v>144</v>
      </c>
      <c r="B38" s="10" t="s">
        <v>12</v>
      </c>
      <c r="C38" s="11" t="s">
        <v>145</v>
      </c>
      <c r="D38" s="10" t="s">
        <v>85</v>
      </c>
      <c r="E38" s="10" t="s">
        <v>65</v>
      </c>
      <c r="F38" s="10" t="s">
        <v>66</v>
      </c>
      <c r="G38" s="12" t="s">
        <v>33</v>
      </c>
      <c r="H38" s="12" t="n">
        <v>5</v>
      </c>
      <c r="I38" s="13" t="n">
        <v>46191</v>
      </c>
      <c r="J38" s="13" t="n">
        <v>46191</v>
      </c>
      <c r="K38" s="11" t="s">
        <v>146</v>
      </c>
    </row>
    <row r="39" customFormat="false" ht="15" hidden="false" customHeight="false" outlineLevel="0" collapsed="false">
      <c r="A39" s="14" t="s">
        <v>147</v>
      </c>
      <c r="B39" s="14" t="s">
        <v>12</v>
      </c>
      <c r="C39" s="15" t="s">
        <v>148</v>
      </c>
      <c r="D39" s="14" t="s">
        <v>124</v>
      </c>
      <c r="E39" s="14" t="s">
        <v>65</v>
      </c>
      <c r="F39" s="14" t="s">
        <v>16</v>
      </c>
      <c r="G39" s="16" t="s">
        <v>33</v>
      </c>
      <c r="H39" s="16" t="n">
        <v>6</v>
      </c>
      <c r="I39" s="17" t="n">
        <v>46192</v>
      </c>
      <c r="J39" s="17" t="n">
        <v>46192</v>
      </c>
      <c r="K39" s="15" t="s">
        <v>149</v>
      </c>
    </row>
    <row r="40" customFormat="false" ht="15" hidden="false" customHeight="false" outlineLevel="0" collapsed="false">
      <c r="A40" s="10" t="s">
        <v>150</v>
      </c>
      <c r="B40" s="10" t="s">
        <v>12</v>
      </c>
      <c r="C40" s="11" t="s">
        <v>151</v>
      </c>
      <c r="D40" s="10" t="s">
        <v>85</v>
      </c>
      <c r="E40" s="10" t="s">
        <v>65</v>
      </c>
      <c r="F40" s="10" t="s">
        <v>66</v>
      </c>
      <c r="G40" s="12" t="s">
        <v>33</v>
      </c>
      <c r="H40" s="12" t="n">
        <v>6</v>
      </c>
      <c r="I40" s="13" t="n">
        <v>46192</v>
      </c>
      <c r="J40" s="13" t="n">
        <v>46192</v>
      </c>
      <c r="K40" s="11" t="s">
        <v>152</v>
      </c>
    </row>
    <row r="41" customFormat="false" ht="15" hidden="false" customHeight="false" outlineLevel="0" collapsed="false">
      <c r="A41" s="14" t="s">
        <v>153</v>
      </c>
      <c r="B41" s="14" t="s">
        <v>12</v>
      </c>
      <c r="C41" s="15" t="s">
        <v>154</v>
      </c>
      <c r="D41" s="14" t="s">
        <v>81</v>
      </c>
      <c r="E41" s="14" t="s">
        <v>65</v>
      </c>
      <c r="F41" s="14" t="s">
        <v>16</v>
      </c>
      <c r="G41" s="16" t="s">
        <v>33</v>
      </c>
      <c r="H41" s="16" t="n">
        <v>6</v>
      </c>
      <c r="I41" s="17" t="n">
        <v>46195</v>
      </c>
      <c r="J41" s="17" t="n">
        <v>46195</v>
      </c>
      <c r="K41" s="15" t="s">
        <v>155</v>
      </c>
    </row>
    <row r="42" customFormat="false" ht="15" hidden="false" customHeight="false" outlineLevel="0" collapsed="false">
      <c r="A42" s="10" t="s">
        <v>156</v>
      </c>
      <c r="B42" s="10" t="s">
        <v>12</v>
      </c>
      <c r="C42" s="11" t="s">
        <v>157</v>
      </c>
      <c r="D42" s="10" t="s">
        <v>124</v>
      </c>
      <c r="E42" s="10" t="s">
        <v>158</v>
      </c>
      <c r="F42" s="10" t="s">
        <v>66</v>
      </c>
      <c r="G42" s="12" t="s">
        <v>33</v>
      </c>
      <c r="H42" s="12" t="n">
        <v>6</v>
      </c>
      <c r="I42" s="13" t="n">
        <v>46195</v>
      </c>
      <c r="J42" s="13" t="n">
        <v>46195</v>
      </c>
      <c r="K42" s="11" t="s">
        <v>159</v>
      </c>
    </row>
    <row r="43" customFormat="false" ht="15" hidden="false" customHeight="false" outlineLevel="0" collapsed="false">
      <c r="A43" s="14" t="s">
        <v>160</v>
      </c>
      <c r="B43" s="14" t="s">
        <v>12</v>
      </c>
      <c r="C43" s="15" t="s">
        <v>161</v>
      </c>
      <c r="D43" s="14" t="s">
        <v>81</v>
      </c>
      <c r="E43" s="14" t="s">
        <v>65</v>
      </c>
      <c r="F43" s="14" t="s">
        <v>16</v>
      </c>
      <c r="G43" s="16" t="s">
        <v>33</v>
      </c>
      <c r="H43" s="16" t="n">
        <v>6</v>
      </c>
      <c r="I43" s="17" t="n">
        <v>46196</v>
      </c>
      <c r="J43" s="17" t="n">
        <v>46196</v>
      </c>
      <c r="K43" s="15" t="s">
        <v>162</v>
      </c>
    </row>
    <row r="44" customFormat="false" ht="15" hidden="false" customHeight="false" outlineLevel="0" collapsed="false">
      <c r="A44" s="10" t="s">
        <v>163</v>
      </c>
      <c r="B44" s="10" t="s">
        <v>12</v>
      </c>
      <c r="C44" s="11" t="s">
        <v>164</v>
      </c>
      <c r="D44" s="10" t="s">
        <v>124</v>
      </c>
      <c r="E44" s="10" t="s">
        <v>158</v>
      </c>
      <c r="F44" s="10" t="s">
        <v>66</v>
      </c>
      <c r="G44" s="12" t="s">
        <v>33</v>
      </c>
      <c r="H44" s="12" t="n">
        <v>6</v>
      </c>
      <c r="I44" s="13" t="n">
        <v>46196</v>
      </c>
      <c r="J44" s="13" t="n">
        <v>46196</v>
      </c>
      <c r="K44" s="11" t="s">
        <v>165</v>
      </c>
    </row>
    <row r="45" customFormat="false" ht="15" hidden="false" customHeight="false" outlineLevel="0" collapsed="false">
      <c r="A45" s="14" t="s">
        <v>166</v>
      </c>
      <c r="B45" s="14" t="s">
        <v>12</v>
      </c>
      <c r="C45" s="15" t="s">
        <v>167</v>
      </c>
      <c r="D45" s="14" t="s">
        <v>81</v>
      </c>
      <c r="E45" s="14" t="s">
        <v>65</v>
      </c>
      <c r="F45" s="14" t="s">
        <v>16</v>
      </c>
      <c r="G45" s="16" t="s">
        <v>33</v>
      </c>
      <c r="H45" s="16" t="n">
        <v>6</v>
      </c>
      <c r="I45" s="17" t="n">
        <v>46197</v>
      </c>
      <c r="J45" s="17" t="n">
        <v>46197</v>
      </c>
      <c r="K45" s="15" t="s">
        <v>168</v>
      </c>
    </row>
    <row r="46" customFormat="false" ht="15" hidden="false" customHeight="false" outlineLevel="0" collapsed="false">
      <c r="A46" s="10" t="s">
        <v>169</v>
      </c>
      <c r="B46" s="10" t="s">
        <v>12</v>
      </c>
      <c r="C46" s="11" t="s">
        <v>170</v>
      </c>
      <c r="D46" s="10" t="s">
        <v>52</v>
      </c>
      <c r="E46" s="10" t="s">
        <v>158</v>
      </c>
      <c r="F46" s="10" t="s">
        <v>66</v>
      </c>
      <c r="G46" s="12" t="s">
        <v>33</v>
      </c>
      <c r="H46" s="12" t="n">
        <v>6</v>
      </c>
      <c r="I46" s="13" t="n">
        <v>46197</v>
      </c>
      <c r="J46" s="13" t="n">
        <v>46197</v>
      </c>
      <c r="K46" s="11" t="s">
        <v>171</v>
      </c>
    </row>
    <row r="47" customFormat="false" ht="15" hidden="false" customHeight="false" outlineLevel="0" collapsed="false">
      <c r="A47" s="10" t="s">
        <v>172</v>
      </c>
      <c r="B47" s="10" t="s">
        <v>12</v>
      </c>
      <c r="C47" s="11" t="s">
        <v>173</v>
      </c>
      <c r="D47" s="10" t="s">
        <v>52</v>
      </c>
      <c r="E47" s="10" t="s">
        <v>158</v>
      </c>
      <c r="F47" s="10" t="s">
        <v>66</v>
      </c>
      <c r="G47" s="12" t="s">
        <v>33</v>
      </c>
      <c r="H47" s="12" t="n">
        <v>6</v>
      </c>
      <c r="I47" s="13" t="n">
        <v>46198</v>
      </c>
      <c r="J47" s="13" t="n">
        <v>46198</v>
      </c>
      <c r="K47" s="11" t="s">
        <v>174</v>
      </c>
    </row>
    <row r="48" customFormat="false" ht="15" hidden="false" customHeight="false" outlineLevel="0" collapsed="false">
      <c r="A48" s="14" t="s">
        <v>175</v>
      </c>
      <c r="B48" s="14" t="s">
        <v>12</v>
      </c>
      <c r="C48" s="15" t="s">
        <v>176</v>
      </c>
      <c r="D48" s="14" t="s">
        <v>106</v>
      </c>
      <c r="E48" s="14" t="s">
        <v>65</v>
      </c>
      <c r="F48" s="14" t="s">
        <v>16</v>
      </c>
      <c r="G48" s="16" t="s">
        <v>33</v>
      </c>
      <c r="H48" s="16" t="n">
        <v>6</v>
      </c>
      <c r="I48" s="17" t="n">
        <v>46198</v>
      </c>
      <c r="J48" s="17" t="n">
        <v>46199</v>
      </c>
      <c r="K48" s="15" t="s">
        <v>177</v>
      </c>
    </row>
    <row r="49" customFormat="false" ht="15" hidden="false" customHeight="false" outlineLevel="0" collapsed="false">
      <c r="A49" s="10" t="s">
        <v>178</v>
      </c>
      <c r="B49" s="10" t="s">
        <v>12</v>
      </c>
      <c r="C49" s="11" t="s">
        <v>179</v>
      </c>
      <c r="D49" s="10" t="s">
        <v>52</v>
      </c>
      <c r="E49" s="10" t="s">
        <v>158</v>
      </c>
      <c r="F49" s="10" t="s">
        <v>66</v>
      </c>
      <c r="G49" s="12" t="s">
        <v>33</v>
      </c>
      <c r="H49" s="12" t="n">
        <v>7</v>
      </c>
      <c r="I49" s="13" t="n">
        <v>46199</v>
      </c>
      <c r="J49" s="13" t="n">
        <v>46199</v>
      </c>
      <c r="K49" s="11" t="s">
        <v>180</v>
      </c>
    </row>
    <row r="50" customFormat="false" ht="15" hidden="false" customHeight="false" outlineLevel="0" collapsed="false">
      <c r="A50" s="10" t="s">
        <v>181</v>
      </c>
      <c r="B50" s="10" t="s">
        <v>12</v>
      </c>
      <c r="C50" s="11" t="s">
        <v>182</v>
      </c>
      <c r="D50" s="10" t="s">
        <v>183</v>
      </c>
      <c r="E50" s="10" t="s">
        <v>158</v>
      </c>
      <c r="F50" s="10" t="s">
        <v>66</v>
      </c>
      <c r="G50" s="12" t="s">
        <v>33</v>
      </c>
      <c r="H50" s="12" t="n">
        <v>7</v>
      </c>
      <c r="I50" s="13" t="n">
        <v>46202</v>
      </c>
      <c r="J50" s="13" t="n">
        <v>46202</v>
      </c>
      <c r="K50" s="11" t="s">
        <v>184</v>
      </c>
    </row>
    <row r="51" customFormat="false" ht="15" hidden="false" customHeight="false" outlineLevel="0" collapsed="false">
      <c r="A51" s="14" t="s">
        <v>185</v>
      </c>
      <c r="B51" s="14" t="s">
        <v>12</v>
      </c>
      <c r="C51" s="15" t="s">
        <v>186</v>
      </c>
      <c r="D51" s="14" t="s">
        <v>106</v>
      </c>
      <c r="E51" s="14" t="s">
        <v>65</v>
      </c>
      <c r="F51" s="14" t="s">
        <v>16</v>
      </c>
      <c r="G51" s="16" t="s">
        <v>33</v>
      </c>
      <c r="H51" s="16" t="n">
        <v>7</v>
      </c>
      <c r="I51" s="17" t="n">
        <v>46202</v>
      </c>
      <c r="J51" s="17" t="n">
        <v>46203</v>
      </c>
      <c r="K51" s="15" t="s">
        <v>187</v>
      </c>
    </row>
    <row r="52" customFormat="false" ht="15" hidden="false" customHeight="false" outlineLevel="0" collapsed="false">
      <c r="A52" s="10" t="s">
        <v>188</v>
      </c>
      <c r="B52" s="10" t="s">
        <v>12</v>
      </c>
      <c r="C52" s="11" t="s">
        <v>189</v>
      </c>
      <c r="D52" s="10" t="s">
        <v>183</v>
      </c>
      <c r="E52" s="10" t="s">
        <v>158</v>
      </c>
      <c r="F52" s="10" t="s">
        <v>66</v>
      </c>
      <c r="G52" s="12" t="s">
        <v>33</v>
      </c>
      <c r="H52" s="12" t="n">
        <v>7</v>
      </c>
      <c r="I52" s="13" t="n">
        <v>46203</v>
      </c>
      <c r="J52" s="13" t="n">
        <v>46203</v>
      </c>
      <c r="K52" s="11" t="s">
        <v>190</v>
      </c>
    </row>
    <row r="53" customFormat="false" ht="15" hidden="false" customHeight="false" outlineLevel="0" collapsed="false">
      <c r="A53" s="14" t="s">
        <v>191</v>
      </c>
      <c r="B53" s="14" t="s">
        <v>12</v>
      </c>
      <c r="C53" s="15" t="s">
        <v>192</v>
      </c>
      <c r="D53" s="14" t="s">
        <v>106</v>
      </c>
      <c r="E53" s="14" t="s">
        <v>65</v>
      </c>
      <c r="F53" s="14" t="s">
        <v>16</v>
      </c>
      <c r="G53" s="16" t="s">
        <v>33</v>
      </c>
      <c r="H53" s="16" t="n">
        <v>7</v>
      </c>
      <c r="I53" s="17" t="n">
        <v>46204</v>
      </c>
      <c r="J53" s="17" t="n">
        <v>46204</v>
      </c>
      <c r="K53" s="15" t="s">
        <v>193</v>
      </c>
    </row>
    <row r="54" customFormat="false" ht="15" hidden="false" customHeight="false" outlineLevel="0" collapsed="false">
      <c r="A54" s="10" t="s">
        <v>194</v>
      </c>
      <c r="B54" s="10" t="s">
        <v>12</v>
      </c>
      <c r="C54" s="11" t="s">
        <v>195</v>
      </c>
      <c r="D54" s="10" t="s">
        <v>52</v>
      </c>
      <c r="E54" s="10" t="s">
        <v>158</v>
      </c>
      <c r="F54" s="10" t="s">
        <v>66</v>
      </c>
      <c r="G54" s="12" t="s">
        <v>33</v>
      </c>
      <c r="H54" s="12" t="n">
        <v>7</v>
      </c>
      <c r="I54" s="13" t="n">
        <v>46204</v>
      </c>
      <c r="J54" s="13" t="n">
        <v>46204</v>
      </c>
      <c r="K54" s="11" t="s">
        <v>196</v>
      </c>
    </row>
    <row r="55" customFormat="false" ht="15" hidden="false" customHeight="false" outlineLevel="0" collapsed="false">
      <c r="A55" s="14" t="s">
        <v>197</v>
      </c>
      <c r="B55" s="14" t="s">
        <v>12</v>
      </c>
      <c r="C55" s="15" t="s">
        <v>198</v>
      </c>
      <c r="D55" s="14" t="s">
        <v>106</v>
      </c>
      <c r="E55" s="14" t="s">
        <v>65</v>
      </c>
      <c r="F55" s="14" t="s">
        <v>16</v>
      </c>
      <c r="G55" s="16" t="s">
        <v>33</v>
      </c>
      <c r="H55" s="16" t="n">
        <v>7</v>
      </c>
      <c r="I55" s="17" t="n">
        <v>46205</v>
      </c>
      <c r="J55" s="17" t="n">
        <v>46205</v>
      </c>
      <c r="K55" s="15" t="s">
        <v>199</v>
      </c>
    </row>
    <row r="56" customFormat="false" ht="15" hidden="false" customHeight="false" outlineLevel="0" collapsed="false">
      <c r="A56" s="10" t="s">
        <v>200</v>
      </c>
      <c r="B56" s="10" t="s">
        <v>12</v>
      </c>
      <c r="C56" s="11" t="s">
        <v>201</v>
      </c>
      <c r="D56" s="10" t="s">
        <v>202</v>
      </c>
      <c r="E56" s="10" t="s">
        <v>203</v>
      </c>
      <c r="F56" s="10" t="s">
        <v>66</v>
      </c>
      <c r="G56" s="12" t="s">
        <v>33</v>
      </c>
      <c r="H56" s="12" t="n">
        <v>7</v>
      </c>
      <c r="I56" s="13" t="n">
        <v>46205</v>
      </c>
      <c r="J56" s="13" t="n">
        <v>46205</v>
      </c>
      <c r="K56" s="11" t="s">
        <v>204</v>
      </c>
    </row>
    <row r="57" customFormat="false" ht="15" hidden="false" customHeight="false" outlineLevel="0" collapsed="false">
      <c r="A57" s="10" t="s">
        <v>205</v>
      </c>
      <c r="B57" s="10" t="s">
        <v>12</v>
      </c>
      <c r="C57" s="11" t="s">
        <v>206</v>
      </c>
      <c r="D57" s="10" t="s">
        <v>202</v>
      </c>
      <c r="E57" s="10" t="s">
        <v>203</v>
      </c>
      <c r="F57" s="10" t="s">
        <v>66</v>
      </c>
      <c r="G57" s="12" t="s">
        <v>33</v>
      </c>
      <c r="H57" s="12" t="n">
        <v>8</v>
      </c>
      <c r="I57" s="13" t="n">
        <v>46206</v>
      </c>
      <c r="J57" s="13" t="n">
        <v>46206</v>
      </c>
      <c r="K57" s="11" t="s">
        <v>207</v>
      </c>
    </row>
    <row r="58" customFormat="false" ht="15" hidden="false" customHeight="false" outlineLevel="0" collapsed="false">
      <c r="A58" s="14" t="s">
        <v>208</v>
      </c>
      <c r="B58" s="14" t="s">
        <v>12</v>
      </c>
      <c r="C58" s="15" t="s">
        <v>209</v>
      </c>
      <c r="D58" s="14" t="s">
        <v>85</v>
      </c>
      <c r="E58" s="14" t="s">
        <v>65</v>
      </c>
      <c r="F58" s="14" t="s">
        <v>16</v>
      </c>
      <c r="G58" s="16" t="s">
        <v>33</v>
      </c>
      <c r="H58" s="16" t="n">
        <v>8</v>
      </c>
      <c r="I58" s="17" t="n">
        <v>46206</v>
      </c>
      <c r="J58" s="17" t="n">
        <v>46209</v>
      </c>
      <c r="K58" s="15" t="s">
        <v>210</v>
      </c>
    </row>
    <row r="59" customFormat="false" ht="15" hidden="false" customHeight="false" outlineLevel="0" collapsed="false">
      <c r="A59" s="10" t="s">
        <v>211</v>
      </c>
      <c r="B59" s="10" t="s">
        <v>12</v>
      </c>
      <c r="C59" s="11" t="s">
        <v>212</v>
      </c>
      <c r="D59" s="10" t="s">
        <v>106</v>
      </c>
      <c r="E59" s="10" t="s">
        <v>203</v>
      </c>
      <c r="F59" s="10" t="s">
        <v>66</v>
      </c>
      <c r="G59" s="12" t="s">
        <v>33</v>
      </c>
      <c r="H59" s="12" t="n">
        <v>8</v>
      </c>
      <c r="I59" s="13" t="n">
        <v>46209</v>
      </c>
      <c r="J59" s="13" t="n">
        <v>46209</v>
      </c>
      <c r="K59" s="11" t="s">
        <v>213</v>
      </c>
    </row>
    <row r="60" customFormat="false" ht="15" hidden="false" customHeight="false" outlineLevel="0" collapsed="false">
      <c r="A60" s="14" t="s">
        <v>214</v>
      </c>
      <c r="B60" s="14" t="s">
        <v>12</v>
      </c>
      <c r="C60" s="15" t="s">
        <v>215</v>
      </c>
      <c r="D60" s="14" t="s">
        <v>85</v>
      </c>
      <c r="E60" s="14" t="s">
        <v>65</v>
      </c>
      <c r="F60" s="14" t="s">
        <v>16</v>
      </c>
      <c r="G60" s="16" t="s">
        <v>33</v>
      </c>
      <c r="H60" s="16" t="n">
        <v>8</v>
      </c>
      <c r="I60" s="17" t="n">
        <v>46210</v>
      </c>
      <c r="J60" s="17" t="n">
        <v>46210</v>
      </c>
      <c r="K60" s="15" t="s">
        <v>216</v>
      </c>
    </row>
    <row r="61" customFormat="false" ht="15" hidden="false" customHeight="false" outlineLevel="0" collapsed="false">
      <c r="A61" s="10" t="s">
        <v>217</v>
      </c>
      <c r="B61" s="10" t="s">
        <v>12</v>
      </c>
      <c r="C61" s="11" t="s">
        <v>218</v>
      </c>
      <c r="D61" s="10" t="s">
        <v>219</v>
      </c>
      <c r="E61" s="10" t="s">
        <v>220</v>
      </c>
      <c r="F61" s="10" t="s">
        <v>66</v>
      </c>
      <c r="G61" s="12" t="s">
        <v>33</v>
      </c>
      <c r="H61" s="12" t="n">
        <v>8</v>
      </c>
      <c r="I61" s="13" t="n">
        <v>46210</v>
      </c>
      <c r="J61" s="13" t="n">
        <v>46210</v>
      </c>
      <c r="K61" s="11" t="s">
        <v>221</v>
      </c>
    </row>
    <row r="62" customFormat="false" ht="15" hidden="false" customHeight="false" outlineLevel="0" collapsed="false">
      <c r="A62" s="14" t="s">
        <v>222</v>
      </c>
      <c r="B62" s="14" t="s">
        <v>12</v>
      </c>
      <c r="C62" s="15" t="s">
        <v>223</v>
      </c>
      <c r="D62" s="14" t="s">
        <v>85</v>
      </c>
      <c r="E62" s="14" t="s">
        <v>65</v>
      </c>
      <c r="F62" s="14" t="s">
        <v>16</v>
      </c>
      <c r="G62" s="16" t="s">
        <v>33</v>
      </c>
      <c r="H62" s="16" t="n">
        <v>8</v>
      </c>
      <c r="I62" s="17" t="n">
        <v>46211</v>
      </c>
      <c r="J62" s="17" t="n">
        <v>46211</v>
      </c>
      <c r="K62" s="15" t="s">
        <v>224</v>
      </c>
    </row>
    <row r="63" customFormat="false" ht="15" hidden="false" customHeight="false" outlineLevel="0" collapsed="false">
      <c r="A63" s="14" t="s">
        <v>225</v>
      </c>
      <c r="B63" s="14" t="s">
        <v>12</v>
      </c>
      <c r="C63" s="15" t="s">
        <v>226</v>
      </c>
      <c r="D63" s="14" t="s">
        <v>85</v>
      </c>
      <c r="E63" s="14" t="s">
        <v>65</v>
      </c>
      <c r="F63" s="14" t="s">
        <v>16</v>
      </c>
      <c r="G63" s="16" t="s">
        <v>33</v>
      </c>
      <c r="H63" s="16" t="n">
        <v>8</v>
      </c>
      <c r="I63" s="17" t="n">
        <v>46212</v>
      </c>
      <c r="J63" s="17" t="n">
        <v>46212</v>
      </c>
      <c r="K63" s="15" t="s">
        <v>227</v>
      </c>
    </row>
    <row r="64" customFormat="false" ht="15" hidden="false" customHeight="false" outlineLevel="0" collapsed="false">
      <c r="A64" s="10" t="s">
        <v>228</v>
      </c>
      <c r="B64" s="10" t="s">
        <v>12</v>
      </c>
      <c r="C64" s="11" t="s">
        <v>229</v>
      </c>
      <c r="D64" s="10" t="s">
        <v>219</v>
      </c>
      <c r="E64" s="10" t="s">
        <v>220</v>
      </c>
      <c r="F64" s="10" t="s">
        <v>66</v>
      </c>
      <c r="G64" s="12" t="s">
        <v>33</v>
      </c>
      <c r="H64" s="12" t="n">
        <v>8</v>
      </c>
      <c r="I64" s="13" t="n">
        <v>46211</v>
      </c>
      <c r="J64" s="13" t="n">
        <v>46212</v>
      </c>
      <c r="K64" s="11" t="s">
        <v>230</v>
      </c>
    </row>
    <row r="65" customFormat="false" ht="15" hidden="false" customHeight="false" outlineLevel="0" collapsed="false">
      <c r="A65" s="14" t="s">
        <v>231</v>
      </c>
      <c r="B65" s="14" t="s">
        <v>12</v>
      </c>
      <c r="C65" s="15" t="s">
        <v>232</v>
      </c>
      <c r="D65" s="14" t="s">
        <v>183</v>
      </c>
      <c r="E65" s="14" t="s">
        <v>158</v>
      </c>
      <c r="F65" s="14" t="s">
        <v>16</v>
      </c>
      <c r="G65" s="16" t="s">
        <v>33</v>
      </c>
      <c r="H65" s="16" t="n">
        <v>9</v>
      </c>
      <c r="I65" s="17" t="n">
        <v>46213</v>
      </c>
      <c r="J65" s="17" t="n">
        <v>46216</v>
      </c>
      <c r="K65" s="15" t="s">
        <v>233</v>
      </c>
    </row>
    <row r="66" customFormat="false" ht="15" hidden="false" customHeight="false" outlineLevel="0" collapsed="false">
      <c r="A66" s="10" t="s">
        <v>234</v>
      </c>
      <c r="B66" s="10" t="s">
        <v>12</v>
      </c>
      <c r="C66" s="11" t="s">
        <v>235</v>
      </c>
      <c r="D66" s="10" t="s">
        <v>14</v>
      </c>
      <c r="E66" s="10" t="s">
        <v>220</v>
      </c>
      <c r="F66" s="10" t="s">
        <v>66</v>
      </c>
      <c r="G66" s="12" t="s">
        <v>33</v>
      </c>
      <c r="H66" s="12" t="n">
        <v>9</v>
      </c>
      <c r="I66" s="13" t="n">
        <v>46213</v>
      </c>
      <c r="J66" s="13" t="n">
        <v>46216</v>
      </c>
      <c r="K66" s="11" t="s">
        <v>236</v>
      </c>
    </row>
    <row r="67" customFormat="false" ht="15" hidden="false" customHeight="false" outlineLevel="0" collapsed="false">
      <c r="A67" s="14" t="s">
        <v>237</v>
      </c>
      <c r="B67" s="14" t="s">
        <v>12</v>
      </c>
      <c r="C67" s="15" t="s">
        <v>238</v>
      </c>
      <c r="D67" s="14" t="s">
        <v>183</v>
      </c>
      <c r="E67" s="14" t="s">
        <v>158</v>
      </c>
      <c r="F67" s="14" t="s">
        <v>16</v>
      </c>
      <c r="G67" s="16" t="s">
        <v>33</v>
      </c>
      <c r="H67" s="16" t="n">
        <v>9</v>
      </c>
      <c r="I67" s="17" t="n">
        <v>46217</v>
      </c>
      <c r="J67" s="17" t="n">
        <v>46217</v>
      </c>
      <c r="K67" s="15" t="s">
        <v>239</v>
      </c>
    </row>
    <row r="68" customFormat="false" ht="15" hidden="false" customHeight="false" outlineLevel="0" collapsed="false">
      <c r="A68" s="10" t="s">
        <v>240</v>
      </c>
      <c r="B68" s="10" t="s">
        <v>12</v>
      </c>
      <c r="C68" s="11" t="s">
        <v>241</v>
      </c>
      <c r="D68" s="10" t="s">
        <v>77</v>
      </c>
      <c r="E68" s="10" t="s">
        <v>220</v>
      </c>
      <c r="F68" s="10" t="s">
        <v>66</v>
      </c>
      <c r="G68" s="12" t="s">
        <v>33</v>
      </c>
      <c r="H68" s="12" t="n">
        <v>9</v>
      </c>
      <c r="I68" s="13" t="n">
        <v>46217</v>
      </c>
      <c r="J68" s="13" t="n">
        <v>46217</v>
      </c>
      <c r="K68" s="11" t="s">
        <v>242</v>
      </c>
    </row>
    <row r="69" customFormat="false" ht="15" hidden="false" customHeight="false" outlineLevel="0" collapsed="false">
      <c r="A69" s="14" t="s">
        <v>243</v>
      </c>
      <c r="B69" s="14" t="s">
        <v>12</v>
      </c>
      <c r="C69" s="15" t="s">
        <v>244</v>
      </c>
      <c r="D69" s="14" t="s">
        <v>183</v>
      </c>
      <c r="E69" s="14" t="s">
        <v>158</v>
      </c>
      <c r="F69" s="14" t="s">
        <v>16</v>
      </c>
      <c r="G69" s="16" t="s">
        <v>33</v>
      </c>
      <c r="H69" s="16" t="n">
        <v>9</v>
      </c>
      <c r="I69" s="17" t="n">
        <v>46218</v>
      </c>
      <c r="J69" s="17" t="n">
        <v>46218</v>
      </c>
      <c r="K69" s="15" t="s">
        <v>245</v>
      </c>
    </row>
    <row r="70" customFormat="false" ht="15" hidden="false" customHeight="false" outlineLevel="0" collapsed="false">
      <c r="A70" s="10" t="s">
        <v>246</v>
      </c>
      <c r="B70" s="10" t="s">
        <v>12</v>
      </c>
      <c r="C70" s="11" t="s">
        <v>247</v>
      </c>
      <c r="D70" s="10" t="s">
        <v>21</v>
      </c>
      <c r="E70" s="10" t="s">
        <v>220</v>
      </c>
      <c r="F70" s="10" t="s">
        <v>66</v>
      </c>
      <c r="G70" s="12" t="s">
        <v>33</v>
      </c>
      <c r="H70" s="12" t="n">
        <v>9</v>
      </c>
      <c r="I70" s="13" t="n">
        <v>46218</v>
      </c>
      <c r="J70" s="13" t="n">
        <v>46218</v>
      </c>
      <c r="K70" s="11" t="s">
        <v>248</v>
      </c>
    </row>
    <row r="71" customFormat="false" ht="15" hidden="false" customHeight="false" outlineLevel="0" collapsed="false">
      <c r="A71" s="10" t="s">
        <v>249</v>
      </c>
      <c r="B71" s="10" t="s">
        <v>12</v>
      </c>
      <c r="C71" s="11" t="s">
        <v>250</v>
      </c>
      <c r="D71" s="10" t="s">
        <v>219</v>
      </c>
      <c r="E71" s="10" t="s">
        <v>220</v>
      </c>
      <c r="F71" s="10" t="s">
        <v>66</v>
      </c>
      <c r="G71" s="12" t="s">
        <v>33</v>
      </c>
      <c r="H71" s="12" t="n">
        <v>9</v>
      </c>
      <c r="I71" s="13" t="n">
        <v>46219</v>
      </c>
      <c r="J71" s="13" t="n">
        <v>46219</v>
      </c>
      <c r="K71" s="11" t="s">
        <v>251</v>
      </c>
    </row>
    <row r="72" customFormat="false" ht="15" hidden="false" customHeight="false" outlineLevel="0" collapsed="false">
      <c r="A72" s="14" t="s">
        <v>252</v>
      </c>
      <c r="B72" s="14" t="s">
        <v>12</v>
      </c>
      <c r="C72" s="15" t="s">
        <v>253</v>
      </c>
      <c r="D72" s="14" t="s">
        <v>183</v>
      </c>
      <c r="E72" s="14" t="s">
        <v>158</v>
      </c>
      <c r="F72" s="14" t="s">
        <v>16</v>
      </c>
      <c r="G72" s="16" t="s">
        <v>33</v>
      </c>
      <c r="H72" s="16" t="n">
        <v>9</v>
      </c>
      <c r="I72" s="17" t="n">
        <v>46219</v>
      </c>
      <c r="J72" s="17" t="n">
        <v>46220</v>
      </c>
      <c r="K72" s="15" t="s">
        <v>254</v>
      </c>
    </row>
    <row r="73" customFormat="false" ht="15" hidden="false" customHeight="false" outlineLevel="0" collapsed="false">
      <c r="A73" s="10" t="s">
        <v>255</v>
      </c>
      <c r="B73" s="10" t="s">
        <v>12</v>
      </c>
      <c r="C73" s="11" t="s">
        <v>256</v>
      </c>
      <c r="D73" s="10" t="s">
        <v>81</v>
      </c>
      <c r="E73" s="10" t="s">
        <v>220</v>
      </c>
      <c r="F73" s="10" t="s">
        <v>66</v>
      </c>
      <c r="G73" s="12" t="s">
        <v>33</v>
      </c>
      <c r="H73" s="12" t="n">
        <v>10</v>
      </c>
      <c r="I73" s="13" t="n">
        <v>46220</v>
      </c>
      <c r="J73" s="13" t="n">
        <v>46220</v>
      </c>
      <c r="K73" s="11" t="s">
        <v>257</v>
      </c>
    </row>
    <row r="74" customFormat="false" ht="15" hidden="false" customHeight="false" outlineLevel="0" collapsed="false">
      <c r="A74" s="10" t="s">
        <v>258</v>
      </c>
      <c r="B74" s="10" t="s">
        <v>12</v>
      </c>
      <c r="C74" s="11" t="s">
        <v>259</v>
      </c>
      <c r="D74" s="10" t="s">
        <v>219</v>
      </c>
      <c r="E74" s="10" t="s">
        <v>220</v>
      </c>
      <c r="F74" s="10" t="s">
        <v>66</v>
      </c>
      <c r="G74" s="12" t="s">
        <v>33</v>
      </c>
      <c r="H74" s="12" t="n">
        <v>10</v>
      </c>
      <c r="I74" s="13" t="n">
        <v>46223</v>
      </c>
      <c r="J74" s="13" t="n">
        <v>46223</v>
      </c>
      <c r="K74" s="11" t="s">
        <v>260</v>
      </c>
    </row>
    <row r="75" customFormat="false" ht="15" hidden="false" customHeight="false" outlineLevel="0" collapsed="false">
      <c r="A75" s="14" t="s">
        <v>261</v>
      </c>
      <c r="B75" s="14" t="s">
        <v>12</v>
      </c>
      <c r="C75" s="15" t="s">
        <v>262</v>
      </c>
      <c r="D75" s="14" t="s">
        <v>183</v>
      </c>
      <c r="E75" s="14" t="s">
        <v>158</v>
      </c>
      <c r="F75" s="14" t="s">
        <v>16</v>
      </c>
      <c r="G75" s="16" t="s">
        <v>33</v>
      </c>
      <c r="H75" s="16" t="n">
        <v>10</v>
      </c>
      <c r="I75" s="17" t="n">
        <v>46223</v>
      </c>
      <c r="J75" s="17" t="n">
        <v>46224</v>
      </c>
      <c r="K75" s="15" t="s">
        <v>263</v>
      </c>
    </row>
    <row r="76" customFormat="false" ht="15" hidden="false" customHeight="false" outlineLevel="0" collapsed="false">
      <c r="A76" s="10" t="s">
        <v>264</v>
      </c>
      <c r="B76" s="10" t="s">
        <v>12</v>
      </c>
      <c r="C76" s="11" t="s">
        <v>265</v>
      </c>
      <c r="D76" s="10" t="s">
        <v>266</v>
      </c>
      <c r="E76" s="10" t="s">
        <v>267</v>
      </c>
      <c r="F76" s="10" t="s">
        <v>66</v>
      </c>
      <c r="G76" s="12" t="s">
        <v>33</v>
      </c>
      <c r="H76" s="12" t="n">
        <v>10</v>
      </c>
      <c r="I76" s="13" t="n">
        <v>46224</v>
      </c>
      <c r="J76" s="13" t="n">
        <v>46224</v>
      </c>
      <c r="K76" s="11" t="s">
        <v>268</v>
      </c>
    </row>
    <row r="77" customFormat="false" ht="15" hidden="false" customHeight="false" outlineLevel="0" collapsed="false">
      <c r="A77" s="10" t="s">
        <v>269</v>
      </c>
      <c r="B77" s="10" t="s">
        <v>12</v>
      </c>
      <c r="C77" s="11" t="s">
        <v>270</v>
      </c>
      <c r="D77" s="10" t="s">
        <v>85</v>
      </c>
      <c r="E77" s="10" t="s">
        <v>267</v>
      </c>
      <c r="F77" s="10" t="s">
        <v>66</v>
      </c>
      <c r="G77" s="12" t="s">
        <v>33</v>
      </c>
      <c r="H77" s="12" t="n">
        <v>10</v>
      </c>
      <c r="I77" s="13" t="n">
        <v>46225</v>
      </c>
      <c r="J77" s="13" t="n">
        <v>46225</v>
      </c>
      <c r="K77" s="11" t="s">
        <v>271</v>
      </c>
    </row>
    <row r="78" customFormat="false" ht="15" hidden="false" customHeight="false" outlineLevel="0" collapsed="false">
      <c r="A78" s="14" t="s">
        <v>272</v>
      </c>
      <c r="B78" s="14" t="s">
        <v>12</v>
      </c>
      <c r="C78" s="15" t="s">
        <v>273</v>
      </c>
      <c r="D78" s="14" t="s">
        <v>183</v>
      </c>
      <c r="E78" s="14" t="s">
        <v>158</v>
      </c>
      <c r="F78" s="14" t="s">
        <v>16</v>
      </c>
      <c r="G78" s="16" t="s">
        <v>33</v>
      </c>
      <c r="H78" s="16" t="n">
        <v>10</v>
      </c>
      <c r="I78" s="17" t="n">
        <v>46225</v>
      </c>
      <c r="J78" s="17" t="n">
        <v>46226</v>
      </c>
      <c r="K78" s="15" t="s">
        <v>274</v>
      </c>
    </row>
    <row r="79" customFormat="false" ht="15" hidden="false" customHeight="false" outlineLevel="0" collapsed="false">
      <c r="A79" s="10" t="s">
        <v>275</v>
      </c>
      <c r="B79" s="10" t="s">
        <v>12</v>
      </c>
      <c r="C79" s="11" t="s">
        <v>276</v>
      </c>
      <c r="D79" s="10" t="s">
        <v>85</v>
      </c>
      <c r="E79" s="10" t="s">
        <v>267</v>
      </c>
      <c r="F79" s="10" t="s">
        <v>66</v>
      </c>
      <c r="G79" s="12" t="s">
        <v>33</v>
      </c>
      <c r="H79" s="12" t="n">
        <v>10</v>
      </c>
      <c r="I79" s="13" t="n">
        <v>46226</v>
      </c>
      <c r="J79" s="13" t="n">
        <v>46226</v>
      </c>
      <c r="K79" s="11" t="s">
        <v>277</v>
      </c>
    </row>
    <row r="80" customFormat="false" ht="15" hidden="false" customHeight="false" outlineLevel="0" collapsed="false">
      <c r="A80" s="14" t="s">
        <v>278</v>
      </c>
      <c r="B80" s="14" t="s">
        <v>12</v>
      </c>
      <c r="C80" s="15" t="s">
        <v>279</v>
      </c>
      <c r="D80" s="14" t="s">
        <v>202</v>
      </c>
      <c r="E80" s="14" t="s">
        <v>203</v>
      </c>
      <c r="F80" s="14" t="s">
        <v>16</v>
      </c>
      <c r="G80" s="16" t="s">
        <v>33</v>
      </c>
      <c r="H80" s="16" t="n">
        <v>11</v>
      </c>
      <c r="I80" s="17" t="n">
        <v>46227</v>
      </c>
      <c r="J80" s="17" t="n">
        <v>46227</v>
      </c>
      <c r="K80" s="15" t="s">
        <v>280</v>
      </c>
    </row>
    <row r="81" customFormat="false" ht="15" hidden="false" customHeight="false" outlineLevel="0" collapsed="false">
      <c r="A81" s="10" t="s">
        <v>281</v>
      </c>
      <c r="B81" s="10" t="s">
        <v>12</v>
      </c>
      <c r="C81" s="11" t="s">
        <v>282</v>
      </c>
      <c r="D81" s="10" t="s">
        <v>73</v>
      </c>
      <c r="E81" s="10" t="s">
        <v>267</v>
      </c>
      <c r="F81" s="10" t="s">
        <v>66</v>
      </c>
      <c r="G81" s="12" t="s">
        <v>33</v>
      </c>
      <c r="H81" s="12" t="n">
        <v>11</v>
      </c>
      <c r="I81" s="13" t="n">
        <v>46227</v>
      </c>
      <c r="J81" s="13" t="n">
        <v>46230</v>
      </c>
      <c r="K81" s="11" t="s">
        <v>283</v>
      </c>
    </row>
    <row r="82" customFormat="false" ht="15" hidden="false" customHeight="false" outlineLevel="0" collapsed="false">
      <c r="A82" s="14" t="s">
        <v>284</v>
      </c>
      <c r="B82" s="14" t="s">
        <v>12</v>
      </c>
      <c r="C82" s="15" t="s">
        <v>285</v>
      </c>
      <c r="D82" s="14" t="s">
        <v>202</v>
      </c>
      <c r="E82" s="14" t="s">
        <v>203</v>
      </c>
      <c r="F82" s="14" t="s">
        <v>16</v>
      </c>
      <c r="G82" s="16" t="s">
        <v>33</v>
      </c>
      <c r="H82" s="16" t="n">
        <v>11</v>
      </c>
      <c r="I82" s="17" t="n">
        <v>46230</v>
      </c>
      <c r="J82" s="17" t="n">
        <v>46231</v>
      </c>
      <c r="K82" s="15" t="s">
        <v>286</v>
      </c>
    </row>
    <row r="83" customFormat="false" ht="15" hidden="false" customHeight="false" outlineLevel="0" collapsed="false">
      <c r="A83" s="10" t="s">
        <v>287</v>
      </c>
      <c r="B83" s="10" t="s">
        <v>12</v>
      </c>
      <c r="C83" s="11" t="s">
        <v>288</v>
      </c>
      <c r="D83" s="10" t="s">
        <v>73</v>
      </c>
      <c r="E83" s="10" t="s">
        <v>267</v>
      </c>
      <c r="F83" s="10" t="s">
        <v>66</v>
      </c>
      <c r="G83" s="12" t="s">
        <v>33</v>
      </c>
      <c r="H83" s="12" t="n">
        <v>11</v>
      </c>
      <c r="I83" s="13" t="n">
        <v>46231</v>
      </c>
      <c r="J83" s="13" t="n">
        <v>46231</v>
      </c>
      <c r="K83" s="11" t="s">
        <v>289</v>
      </c>
    </row>
    <row r="84" customFormat="false" ht="15" hidden="false" customHeight="false" outlineLevel="0" collapsed="false">
      <c r="A84" s="10" t="s">
        <v>290</v>
      </c>
      <c r="B84" s="10" t="s">
        <v>12</v>
      </c>
      <c r="C84" s="11" t="s">
        <v>291</v>
      </c>
      <c r="D84" s="10" t="s">
        <v>73</v>
      </c>
      <c r="E84" s="10" t="s">
        <v>267</v>
      </c>
      <c r="F84" s="10" t="s">
        <v>66</v>
      </c>
      <c r="G84" s="12" t="s">
        <v>33</v>
      </c>
      <c r="H84" s="12" t="n">
        <v>11</v>
      </c>
      <c r="I84" s="13" t="n">
        <v>46232</v>
      </c>
      <c r="J84" s="13" t="n">
        <v>46232</v>
      </c>
      <c r="K84" s="11" t="s">
        <v>292</v>
      </c>
    </row>
    <row r="85" customFormat="false" ht="15" hidden="false" customHeight="false" outlineLevel="0" collapsed="false">
      <c r="A85" s="14" t="s">
        <v>293</v>
      </c>
      <c r="B85" s="14" t="s">
        <v>12</v>
      </c>
      <c r="C85" s="15" t="s">
        <v>294</v>
      </c>
      <c r="D85" s="14" t="s">
        <v>202</v>
      </c>
      <c r="E85" s="14" t="s">
        <v>203</v>
      </c>
      <c r="F85" s="14" t="s">
        <v>16</v>
      </c>
      <c r="G85" s="16" t="s">
        <v>33</v>
      </c>
      <c r="H85" s="16" t="n">
        <v>11</v>
      </c>
      <c r="I85" s="17" t="n">
        <v>46232</v>
      </c>
      <c r="J85" s="17" t="n">
        <v>46233</v>
      </c>
      <c r="K85" s="15" t="s">
        <v>295</v>
      </c>
    </row>
    <row r="86" customFormat="false" ht="15" hidden="false" customHeight="false" outlineLevel="0" collapsed="false">
      <c r="A86" s="10" t="s">
        <v>296</v>
      </c>
      <c r="B86" s="10" t="s">
        <v>12</v>
      </c>
      <c r="C86" s="11" t="s">
        <v>297</v>
      </c>
      <c r="D86" s="10" t="s">
        <v>21</v>
      </c>
      <c r="E86" s="10" t="s">
        <v>267</v>
      </c>
      <c r="F86" s="10" t="s">
        <v>66</v>
      </c>
      <c r="G86" s="12" t="s">
        <v>33</v>
      </c>
      <c r="H86" s="12" t="n">
        <v>11</v>
      </c>
      <c r="I86" s="13" t="n">
        <v>46233</v>
      </c>
      <c r="J86" s="13" t="n">
        <v>46233</v>
      </c>
      <c r="K86" s="11" t="s">
        <v>298</v>
      </c>
    </row>
    <row r="87" customFormat="false" ht="15" hidden="false" customHeight="false" outlineLevel="0" collapsed="false">
      <c r="A87" s="10" t="s">
        <v>299</v>
      </c>
      <c r="B87" s="10" t="s">
        <v>12</v>
      </c>
      <c r="C87" s="11" t="s">
        <v>300</v>
      </c>
      <c r="D87" s="10" t="s">
        <v>266</v>
      </c>
      <c r="E87" s="10" t="s">
        <v>220</v>
      </c>
      <c r="F87" s="10" t="s">
        <v>66</v>
      </c>
      <c r="G87" s="12" t="s">
        <v>33</v>
      </c>
      <c r="H87" s="12" t="n">
        <v>12</v>
      </c>
      <c r="I87" s="13" t="n">
        <v>46234</v>
      </c>
      <c r="J87" s="13" t="n">
        <v>46234</v>
      </c>
      <c r="K87" s="11" t="s">
        <v>301</v>
      </c>
    </row>
    <row r="88" customFormat="false" ht="15" hidden="false" customHeight="false" outlineLevel="0" collapsed="false">
      <c r="A88" s="14" t="s">
        <v>302</v>
      </c>
      <c r="B88" s="14" t="s">
        <v>12</v>
      </c>
      <c r="C88" s="15" t="s">
        <v>303</v>
      </c>
      <c r="D88" s="14" t="s">
        <v>101</v>
      </c>
      <c r="E88" s="14" t="s">
        <v>203</v>
      </c>
      <c r="F88" s="14" t="s">
        <v>16</v>
      </c>
      <c r="G88" s="16" t="s">
        <v>33</v>
      </c>
      <c r="H88" s="16" t="n">
        <v>12</v>
      </c>
      <c r="I88" s="17" t="n">
        <v>46234</v>
      </c>
      <c r="J88" s="17" t="n">
        <v>46237</v>
      </c>
      <c r="K88" s="15" t="s">
        <v>304</v>
      </c>
    </row>
    <row r="89" customFormat="false" ht="15" hidden="false" customHeight="false" outlineLevel="0" collapsed="false">
      <c r="A89" s="10" t="s">
        <v>305</v>
      </c>
      <c r="B89" s="10" t="s">
        <v>12</v>
      </c>
      <c r="C89" s="11" t="s">
        <v>306</v>
      </c>
      <c r="D89" s="10" t="s">
        <v>266</v>
      </c>
      <c r="E89" s="10" t="s">
        <v>220</v>
      </c>
      <c r="F89" s="10" t="s">
        <v>66</v>
      </c>
      <c r="G89" s="12" t="s">
        <v>33</v>
      </c>
      <c r="H89" s="12" t="n">
        <v>12</v>
      </c>
      <c r="I89" s="13" t="n">
        <v>46237</v>
      </c>
      <c r="J89" s="13" t="n">
        <v>46237</v>
      </c>
      <c r="K89" s="11" t="s">
        <v>307</v>
      </c>
    </row>
    <row r="90" customFormat="false" ht="15" hidden="false" customHeight="false" outlineLevel="0" collapsed="false">
      <c r="A90" s="10" t="s">
        <v>308</v>
      </c>
      <c r="B90" s="10" t="s">
        <v>12</v>
      </c>
      <c r="C90" s="11" t="s">
        <v>309</v>
      </c>
      <c r="D90" s="10" t="s">
        <v>266</v>
      </c>
      <c r="E90" s="10" t="s">
        <v>220</v>
      </c>
      <c r="F90" s="10" t="s">
        <v>66</v>
      </c>
      <c r="G90" s="12" t="s">
        <v>33</v>
      </c>
      <c r="H90" s="12" t="n">
        <v>12</v>
      </c>
      <c r="I90" s="13" t="n">
        <v>46238</v>
      </c>
      <c r="J90" s="13" t="n">
        <v>46238</v>
      </c>
      <c r="K90" s="11" t="s">
        <v>310</v>
      </c>
    </row>
    <row r="91" customFormat="false" ht="15" hidden="false" customHeight="false" outlineLevel="0" collapsed="false">
      <c r="A91" s="14" t="s">
        <v>311</v>
      </c>
      <c r="B91" s="14" t="s">
        <v>12</v>
      </c>
      <c r="C91" s="15" t="s">
        <v>312</v>
      </c>
      <c r="D91" s="14" t="s">
        <v>106</v>
      </c>
      <c r="E91" s="14" t="s">
        <v>203</v>
      </c>
      <c r="F91" s="14" t="s">
        <v>16</v>
      </c>
      <c r="G91" s="16" t="s">
        <v>33</v>
      </c>
      <c r="H91" s="16" t="n">
        <v>12</v>
      </c>
      <c r="I91" s="17" t="n">
        <v>46238</v>
      </c>
      <c r="J91" s="17" t="n">
        <v>46239</v>
      </c>
      <c r="K91" s="15" t="s">
        <v>313</v>
      </c>
    </row>
    <row r="92" customFormat="false" ht="15" hidden="false" customHeight="false" outlineLevel="0" collapsed="false">
      <c r="A92" s="10" t="s">
        <v>314</v>
      </c>
      <c r="B92" s="10" t="s">
        <v>12</v>
      </c>
      <c r="C92" s="11" t="s">
        <v>315</v>
      </c>
      <c r="D92" s="10" t="s">
        <v>266</v>
      </c>
      <c r="E92" s="10" t="s">
        <v>220</v>
      </c>
      <c r="F92" s="10" t="s">
        <v>66</v>
      </c>
      <c r="G92" s="12" t="s">
        <v>33</v>
      </c>
      <c r="H92" s="12" t="n">
        <v>12</v>
      </c>
      <c r="I92" s="13" t="n">
        <v>46239</v>
      </c>
      <c r="J92" s="13" t="n">
        <v>46239</v>
      </c>
      <c r="K92" s="11" t="s">
        <v>316</v>
      </c>
    </row>
    <row r="93" customFormat="false" ht="15" hidden="false" customHeight="false" outlineLevel="0" collapsed="false">
      <c r="A93" s="10" t="s">
        <v>317</v>
      </c>
      <c r="B93" s="10" t="s">
        <v>12</v>
      </c>
      <c r="C93" s="11" t="s">
        <v>318</v>
      </c>
      <c r="D93" s="10" t="s">
        <v>266</v>
      </c>
      <c r="E93" s="10" t="s">
        <v>220</v>
      </c>
      <c r="F93" s="10" t="s">
        <v>66</v>
      </c>
      <c r="G93" s="12" t="s">
        <v>33</v>
      </c>
      <c r="H93" s="12" t="n">
        <v>12</v>
      </c>
      <c r="I93" s="13" t="n">
        <v>46240</v>
      </c>
      <c r="J93" s="13" t="n">
        <v>46240</v>
      </c>
      <c r="K93" s="11" t="s">
        <v>319</v>
      </c>
    </row>
    <row r="94" customFormat="false" ht="15" hidden="false" customHeight="false" outlineLevel="0" collapsed="false">
      <c r="A94" s="14" t="s">
        <v>320</v>
      </c>
      <c r="B94" s="14" t="s">
        <v>12</v>
      </c>
      <c r="C94" s="15" t="s">
        <v>321</v>
      </c>
      <c r="D94" s="14" t="s">
        <v>106</v>
      </c>
      <c r="E94" s="14" t="s">
        <v>203</v>
      </c>
      <c r="F94" s="14" t="s">
        <v>16</v>
      </c>
      <c r="G94" s="16" t="s">
        <v>33</v>
      </c>
      <c r="H94" s="16" t="n">
        <v>12</v>
      </c>
      <c r="I94" s="17" t="n">
        <v>46240</v>
      </c>
      <c r="J94" s="17" t="n">
        <v>46241</v>
      </c>
      <c r="K94" s="15" t="s">
        <v>322</v>
      </c>
    </row>
    <row r="95" customFormat="false" ht="15" hidden="false" customHeight="false" outlineLevel="0" collapsed="false">
      <c r="A95" s="10" t="s">
        <v>323</v>
      </c>
      <c r="B95" s="10" t="s">
        <v>12</v>
      </c>
      <c r="C95" s="11" t="s">
        <v>324</v>
      </c>
      <c r="D95" s="10" t="s">
        <v>266</v>
      </c>
      <c r="E95" s="10" t="s">
        <v>220</v>
      </c>
      <c r="F95" s="10" t="s">
        <v>66</v>
      </c>
      <c r="G95" s="12" t="s">
        <v>33</v>
      </c>
      <c r="H95" s="12" t="n">
        <v>13</v>
      </c>
      <c r="I95" s="13" t="n">
        <v>46241</v>
      </c>
      <c r="J95" s="13" t="n">
        <v>46241</v>
      </c>
      <c r="K95" s="11" t="s">
        <v>325</v>
      </c>
    </row>
    <row r="96" customFormat="false" ht="15" hidden="false" customHeight="false" outlineLevel="0" collapsed="false">
      <c r="A96" s="10" t="s">
        <v>326</v>
      </c>
      <c r="B96" s="10" t="s">
        <v>12</v>
      </c>
      <c r="C96" s="11" t="s">
        <v>327</v>
      </c>
      <c r="D96" s="10" t="s">
        <v>266</v>
      </c>
      <c r="E96" s="10" t="s">
        <v>220</v>
      </c>
      <c r="F96" s="10" t="s">
        <v>66</v>
      </c>
      <c r="G96" s="12" t="s">
        <v>33</v>
      </c>
      <c r="H96" s="12" t="n">
        <v>13</v>
      </c>
      <c r="I96" s="13" t="n">
        <v>46244</v>
      </c>
      <c r="J96" s="13" t="n">
        <v>46244</v>
      </c>
      <c r="K96" s="11" t="s">
        <v>328</v>
      </c>
    </row>
    <row r="97" customFormat="false" ht="15" hidden="false" customHeight="false" outlineLevel="0" collapsed="false">
      <c r="A97" s="14" t="s">
        <v>329</v>
      </c>
      <c r="B97" s="14" t="s">
        <v>12</v>
      </c>
      <c r="C97" s="15" t="s">
        <v>330</v>
      </c>
      <c r="D97" s="14" t="s">
        <v>106</v>
      </c>
      <c r="E97" s="14" t="s">
        <v>203</v>
      </c>
      <c r="F97" s="14" t="s">
        <v>16</v>
      </c>
      <c r="G97" s="16" t="s">
        <v>33</v>
      </c>
      <c r="H97" s="16" t="n">
        <v>13</v>
      </c>
      <c r="I97" s="17" t="n">
        <v>46244</v>
      </c>
      <c r="J97" s="17" t="n">
        <v>46245</v>
      </c>
      <c r="K97" s="15" t="s">
        <v>331</v>
      </c>
    </row>
    <row r="98" customFormat="false" ht="15" hidden="false" customHeight="false" outlineLevel="0" collapsed="false">
      <c r="A98" s="10" t="s">
        <v>332</v>
      </c>
      <c r="B98" s="10" t="s">
        <v>12</v>
      </c>
      <c r="C98" s="11" t="s">
        <v>333</v>
      </c>
      <c r="D98" s="10" t="s">
        <v>266</v>
      </c>
      <c r="E98" s="10" t="s">
        <v>220</v>
      </c>
      <c r="F98" s="10" t="s">
        <v>66</v>
      </c>
      <c r="G98" s="12" t="s">
        <v>33</v>
      </c>
      <c r="H98" s="12" t="n">
        <v>13</v>
      </c>
      <c r="I98" s="13" t="n">
        <v>46245</v>
      </c>
      <c r="J98" s="13" t="n">
        <v>46246</v>
      </c>
      <c r="K98" s="11" t="s">
        <v>334</v>
      </c>
    </row>
    <row r="99" customFormat="false" ht="15" hidden="false" customHeight="false" outlineLevel="0" collapsed="false">
      <c r="A99" s="14" t="s">
        <v>335</v>
      </c>
      <c r="B99" s="14" t="s">
        <v>12</v>
      </c>
      <c r="C99" s="15" t="s">
        <v>336</v>
      </c>
      <c r="D99" s="14" t="s">
        <v>106</v>
      </c>
      <c r="E99" s="14" t="s">
        <v>203</v>
      </c>
      <c r="F99" s="14" t="s">
        <v>16</v>
      </c>
      <c r="G99" s="16" t="s">
        <v>33</v>
      </c>
      <c r="H99" s="16" t="n">
        <v>13</v>
      </c>
      <c r="I99" s="17" t="n">
        <v>46246</v>
      </c>
      <c r="J99" s="17" t="n">
        <v>46247</v>
      </c>
      <c r="K99" s="15" t="s">
        <v>337</v>
      </c>
    </row>
    <row r="100" customFormat="false" ht="15" hidden="false" customHeight="false" outlineLevel="0" collapsed="false">
      <c r="A100" s="10" t="s">
        <v>338</v>
      </c>
      <c r="B100" s="10" t="s">
        <v>12</v>
      </c>
      <c r="C100" s="11" t="s">
        <v>339</v>
      </c>
      <c r="D100" s="10" t="s">
        <v>266</v>
      </c>
      <c r="E100" s="10" t="s">
        <v>220</v>
      </c>
      <c r="F100" s="10" t="s">
        <v>66</v>
      </c>
      <c r="G100" s="12" t="s">
        <v>33</v>
      </c>
      <c r="H100" s="12" t="n">
        <v>13</v>
      </c>
      <c r="I100" s="13" t="n">
        <v>46247</v>
      </c>
      <c r="J100" s="13" t="n">
        <v>46247</v>
      </c>
      <c r="K100" s="11" t="s">
        <v>340</v>
      </c>
    </row>
    <row r="101" customFormat="false" ht="15" hidden="false" customHeight="false" outlineLevel="0" collapsed="false">
      <c r="A101" s="14" t="s">
        <v>341</v>
      </c>
      <c r="B101" s="14" t="s">
        <v>12</v>
      </c>
      <c r="C101" s="15" t="s">
        <v>342</v>
      </c>
      <c r="D101" s="14" t="s">
        <v>106</v>
      </c>
      <c r="E101" s="14" t="s">
        <v>203</v>
      </c>
      <c r="F101" s="14" t="s">
        <v>16</v>
      </c>
      <c r="G101" s="16" t="s">
        <v>33</v>
      </c>
      <c r="H101" s="16" t="n">
        <v>14</v>
      </c>
      <c r="I101" s="17" t="n">
        <v>46248</v>
      </c>
      <c r="J101" s="17" t="n">
        <v>46251</v>
      </c>
      <c r="K101" s="15" t="s">
        <v>343</v>
      </c>
    </row>
    <row r="102" customFormat="false" ht="15" hidden="false" customHeight="false" outlineLevel="0" collapsed="false">
      <c r="A102" s="14" t="s">
        <v>344</v>
      </c>
      <c r="B102" s="14" t="s">
        <v>12</v>
      </c>
      <c r="C102" s="15" t="s">
        <v>345</v>
      </c>
      <c r="D102" s="14" t="s">
        <v>219</v>
      </c>
      <c r="E102" s="14" t="s">
        <v>220</v>
      </c>
      <c r="F102" s="14" t="s">
        <v>16</v>
      </c>
      <c r="G102" s="16" t="s">
        <v>33</v>
      </c>
      <c r="H102" s="16" t="n">
        <v>14</v>
      </c>
      <c r="I102" s="17" t="n">
        <v>46252</v>
      </c>
      <c r="J102" s="17" t="n">
        <v>46253</v>
      </c>
      <c r="K102" s="15" t="s">
        <v>346</v>
      </c>
    </row>
    <row r="103" customFormat="false" ht="15" hidden="false" customHeight="false" outlineLevel="0" collapsed="false">
      <c r="A103" s="10" t="s">
        <v>347</v>
      </c>
      <c r="B103" s="10" t="s">
        <v>12</v>
      </c>
      <c r="C103" s="11" t="s">
        <v>348</v>
      </c>
      <c r="D103" s="10" t="s">
        <v>85</v>
      </c>
      <c r="E103" s="10" t="s">
        <v>349</v>
      </c>
      <c r="F103" s="10" t="s">
        <v>66</v>
      </c>
      <c r="G103" s="12" t="s">
        <v>33</v>
      </c>
      <c r="H103" s="12" t="n">
        <v>14</v>
      </c>
      <c r="I103" s="13" t="n">
        <v>46248</v>
      </c>
      <c r="J103" s="13" t="n">
        <v>46254</v>
      </c>
      <c r="K103" s="11" t="s">
        <v>350</v>
      </c>
    </row>
    <row r="104" customFormat="false" ht="15" hidden="false" customHeight="false" outlineLevel="0" collapsed="false">
      <c r="A104" s="14" t="s">
        <v>351</v>
      </c>
      <c r="B104" s="14" t="s">
        <v>12</v>
      </c>
      <c r="C104" s="15" t="s">
        <v>352</v>
      </c>
      <c r="D104" s="14" t="s">
        <v>52</v>
      </c>
      <c r="E104" s="14" t="s">
        <v>220</v>
      </c>
      <c r="F104" s="14" t="s">
        <v>16</v>
      </c>
      <c r="G104" s="16" t="s">
        <v>33</v>
      </c>
      <c r="H104" s="16" t="n">
        <v>14</v>
      </c>
      <c r="I104" s="17" t="n">
        <v>46254</v>
      </c>
      <c r="J104" s="17" t="n">
        <v>46255</v>
      </c>
      <c r="K104" s="15" t="s">
        <v>353</v>
      </c>
    </row>
    <row r="105" customFormat="false" ht="15" hidden="false" customHeight="false" outlineLevel="0" collapsed="false">
      <c r="A105" s="14" t="s">
        <v>354</v>
      </c>
      <c r="B105" s="14" t="s">
        <v>12</v>
      </c>
      <c r="C105" s="15" t="s">
        <v>355</v>
      </c>
      <c r="D105" s="14" t="s">
        <v>219</v>
      </c>
      <c r="E105" s="14" t="s">
        <v>220</v>
      </c>
      <c r="F105" s="14" t="s">
        <v>16</v>
      </c>
      <c r="G105" s="16" t="s">
        <v>33</v>
      </c>
      <c r="H105" s="16" t="n">
        <v>15</v>
      </c>
      <c r="I105" s="17" t="n">
        <v>46258</v>
      </c>
      <c r="J105" s="17" t="n">
        <v>46259</v>
      </c>
      <c r="K105" s="15" t="s">
        <v>356</v>
      </c>
    </row>
    <row r="106" customFormat="false" ht="15" hidden="false" customHeight="false" outlineLevel="0" collapsed="false">
      <c r="A106" s="14" t="s">
        <v>357</v>
      </c>
      <c r="B106" s="14" t="s">
        <v>12</v>
      </c>
      <c r="C106" s="15" t="s">
        <v>358</v>
      </c>
      <c r="D106" s="14" t="s">
        <v>21</v>
      </c>
      <c r="E106" s="14" t="s">
        <v>220</v>
      </c>
      <c r="F106" s="14" t="s">
        <v>16</v>
      </c>
      <c r="G106" s="16" t="s">
        <v>33</v>
      </c>
      <c r="H106" s="16" t="n">
        <v>15</v>
      </c>
      <c r="I106" s="17" t="n">
        <v>46260</v>
      </c>
      <c r="J106" s="17" t="n">
        <v>46260</v>
      </c>
      <c r="K106" s="15" t="s">
        <v>359</v>
      </c>
    </row>
    <row r="107" customFormat="false" ht="15" hidden="false" customHeight="false" outlineLevel="0" collapsed="false">
      <c r="A107" s="14" t="s">
        <v>360</v>
      </c>
      <c r="B107" s="14" t="s">
        <v>12</v>
      </c>
      <c r="C107" s="15" t="s">
        <v>361</v>
      </c>
      <c r="D107" s="14" t="s">
        <v>21</v>
      </c>
      <c r="E107" s="14" t="s">
        <v>267</v>
      </c>
      <c r="F107" s="14" t="s">
        <v>16</v>
      </c>
      <c r="G107" s="16" t="s">
        <v>33</v>
      </c>
      <c r="H107" s="16" t="n">
        <v>15</v>
      </c>
      <c r="I107" s="17" t="n">
        <v>46261</v>
      </c>
      <c r="J107" s="17" t="n">
        <v>46262</v>
      </c>
      <c r="K107" s="15" t="s">
        <v>362</v>
      </c>
    </row>
    <row r="108" customFormat="false" ht="15" hidden="false" customHeight="false" outlineLevel="0" collapsed="false">
      <c r="A108" s="10" t="s">
        <v>363</v>
      </c>
      <c r="B108" s="10" t="s">
        <v>12</v>
      </c>
      <c r="C108" s="11" t="s">
        <v>364</v>
      </c>
      <c r="D108" s="10" t="s">
        <v>106</v>
      </c>
      <c r="E108" s="10" t="s">
        <v>349</v>
      </c>
      <c r="F108" s="10" t="s">
        <v>66</v>
      </c>
      <c r="G108" s="12" t="s">
        <v>33</v>
      </c>
      <c r="H108" s="12" t="n">
        <v>15</v>
      </c>
      <c r="I108" s="13" t="n">
        <v>46255</v>
      </c>
      <c r="J108" s="13" t="n">
        <v>46262</v>
      </c>
      <c r="K108" s="11" t="s">
        <v>350</v>
      </c>
    </row>
    <row r="109" customFormat="false" ht="15" hidden="false" customHeight="false" outlineLevel="0" collapsed="false">
      <c r="A109" s="14" t="s">
        <v>365</v>
      </c>
      <c r="B109" s="14" t="s">
        <v>12</v>
      </c>
      <c r="C109" s="15" t="s">
        <v>366</v>
      </c>
      <c r="D109" s="14" t="s">
        <v>266</v>
      </c>
      <c r="E109" s="14" t="s">
        <v>220</v>
      </c>
      <c r="F109" s="14" t="s">
        <v>16</v>
      </c>
      <c r="G109" s="16" t="s">
        <v>33</v>
      </c>
      <c r="H109" s="16" t="n">
        <v>16</v>
      </c>
      <c r="I109" s="17" t="n">
        <v>46265</v>
      </c>
      <c r="J109" s="17" t="n">
        <v>46266</v>
      </c>
      <c r="K109" s="15" t="s">
        <v>367</v>
      </c>
    </row>
    <row r="110" customFormat="false" ht="15" hidden="false" customHeight="false" outlineLevel="0" collapsed="false">
      <c r="A110" s="14" t="s">
        <v>368</v>
      </c>
      <c r="B110" s="14" t="s">
        <v>12</v>
      </c>
      <c r="C110" s="15" t="s">
        <v>369</v>
      </c>
      <c r="D110" s="14" t="s">
        <v>266</v>
      </c>
      <c r="E110" s="14" t="s">
        <v>220</v>
      </c>
      <c r="F110" s="14" t="s">
        <v>16</v>
      </c>
      <c r="G110" s="16" t="s">
        <v>33</v>
      </c>
      <c r="H110" s="16" t="n">
        <v>16</v>
      </c>
      <c r="I110" s="17" t="n">
        <v>46267</v>
      </c>
      <c r="J110" s="17" t="n">
        <v>46267</v>
      </c>
      <c r="K110" s="15" t="s">
        <v>370</v>
      </c>
    </row>
    <row r="111" customFormat="false" ht="15" hidden="false" customHeight="false" outlineLevel="0" collapsed="false">
      <c r="A111" s="14" t="s">
        <v>371</v>
      </c>
      <c r="B111" s="14" t="s">
        <v>12</v>
      </c>
      <c r="C111" s="15" t="s">
        <v>372</v>
      </c>
      <c r="D111" s="14" t="s">
        <v>266</v>
      </c>
      <c r="E111" s="14" t="s">
        <v>220</v>
      </c>
      <c r="F111" s="14" t="s">
        <v>16</v>
      </c>
      <c r="G111" s="16" t="s">
        <v>33</v>
      </c>
      <c r="H111" s="16" t="n">
        <v>16</v>
      </c>
      <c r="I111" s="17" t="n">
        <v>46268</v>
      </c>
      <c r="J111" s="17" t="n">
        <v>46269</v>
      </c>
      <c r="K111" s="15" t="s">
        <v>373</v>
      </c>
    </row>
    <row r="112" customFormat="false" ht="15" hidden="false" customHeight="false" outlineLevel="0" collapsed="false">
      <c r="A112" s="10" t="s">
        <v>374</v>
      </c>
      <c r="B112" s="10" t="s">
        <v>12</v>
      </c>
      <c r="C112" s="11" t="s">
        <v>375</v>
      </c>
      <c r="D112" s="10" t="s">
        <v>73</v>
      </c>
      <c r="E112" s="10" t="s">
        <v>349</v>
      </c>
      <c r="F112" s="10" t="s">
        <v>66</v>
      </c>
      <c r="G112" s="12" t="s">
        <v>33</v>
      </c>
      <c r="H112" s="12" t="n">
        <v>16</v>
      </c>
      <c r="I112" s="13" t="n">
        <v>46265</v>
      </c>
      <c r="J112" s="13" t="n">
        <v>46269</v>
      </c>
      <c r="K112" s="11" t="s">
        <v>350</v>
      </c>
    </row>
    <row r="113" customFormat="false" ht="15" hidden="false" customHeight="false" outlineLevel="0" collapsed="false">
      <c r="A113" s="14" t="s">
        <v>376</v>
      </c>
      <c r="B113" s="14" t="s">
        <v>12</v>
      </c>
      <c r="C113" s="15" t="s">
        <v>377</v>
      </c>
      <c r="D113" s="14" t="s">
        <v>106</v>
      </c>
      <c r="E113" s="14" t="s">
        <v>349</v>
      </c>
      <c r="F113" s="14" t="s">
        <v>16</v>
      </c>
      <c r="G113" s="16" t="s">
        <v>33</v>
      </c>
      <c r="H113" s="16" t="n">
        <v>17</v>
      </c>
      <c r="I113" s="17" t="n">
        <v>46272</v>
      </c>
      <c r="J113" s="17" t="n">
        <v>46276</v>
      </c>
      <c r="K113" s="15" t="s">
        <v>350</v>
      </c>
    </row>
    <row r="114" customFormat="false" ht="15" hidden="false" customHeight="false" outlineLevel="0" collapsed="false">
      <c r="A114" s="10" t="s">
        <v>378</v>
      </c>
      <c r="B114" s="10" t="s">
        <v>12</v>
      </c>
      <c r="C114" s="11" t="s">
        <v>379</v>
      </c>
      <c r="D114" s="10" t="s">
        <v>266</v>
      </c>
      <c r="E114" s="10" t="s">
        <v>349</v>
      </c>
      <c r="F114" s="10" t="s">
        <v>66</v>
      </c>
      <c r="G114" s="12" t="s">
        <v>33</v>
      </c>
      <c r="H114" s="12" t="n">
        <v>17</v>
      </c>
      <c r="I114" s="13" t="n">
        <v>46272</v>
      </c>
      <c r="J114" s="13" t="n">
        <v>46276</v>
      </c>
      <c r="K114" s="11" t="s">
        <v>350</v>
      </c>
    </row>
    <row r="115" customFormat="false" ht="15" hidden="false" customHeight="false" outlineLevel="0" collapsed="false">
      <c r="A115" s="14" t="s">
        <v>380</v>
      </c>
      <c r="B115" s="14" t="s">
        <v>12</v>
      </c>
      <c r="C115" s="15" t="s">
        <v>381</v>
      </c>
      <c r="D115" s="14" t="s">
        <v>85</v>
      </c>
      <c r="E115" s="14" t="s">
        <v>349</v>
      </c>
      <c r="F115" s="14" t="s">
        <v>16</v>
      </c>
      <c r="G115" s="16" t="s">
        <v>33</v>
      </c>
      <c r="H115" s="16" t="n">
        <v>18</v>
      </c>
      <c r="I115" s="17" t="n">
        <v>46279</v>
      </c>
      <c r="J115" s="17" t="n">
        <v>46283</v>
      </c>
      <c r="K115" s="15" t="s">
        <v>350</v>
      </c>
    </row>
    <row r="116" customFormat="false" ht="15" hidden="false" customHeight="false" outlineLevel="0" collapsed="false">
      <c r="A116" s="14" t="s">
        <v>382</v>
      </c>
      <c r="B116" s="14" t="s">
        <v>12</v>
      </c>
      <c r="C116" s="15" t="s">
        <v>383</v>
      </c>
      <c r="D116" s="14" t="s">
        <v>106</v>
      </c>
      <c r="E116" s="14" t="s">
        <v>349</v>
      </c>
      <c r="F116" s="14" t="s">
        <v>16</v>
      </c>
      <c r="G116" s="16" t="s">
        <v>33</v>
      </c>
      <c r="H116" s="16" t="n">
        <v>19</v>
      </c>
      <c r="I116" s="17" t="n">
        <v>46286</v>
      </c>
      <c r="J116" s="17" t="n">
        <v>46289</v>
      </c>
      <c r="K116" s="15" t="s">
        <v>350</v>
      </c>
    </row>
    <row r="117" customFormat="false" ht="15" hidden="false" customHeight="false" outlineLevel="0" collapsed="false">
      <c r="A117" s="14" t="s">
        <v>384</v>
      </c>
      <c r="B117" s="14" t="s">
        <v>12</v>
      </c>
      <c r="C117" s="15" t="s">
        <v>385</v>
      </c>
      <c r="D117" s="14" t="s">
        <v>219</v>
      </c>
      <c r="E117" s="14" t="s">
        <v>349</v>
      </c>
      <c r="F117" s="14" t="s">
        <v>16</v>
      </c>
      <c r="G117" s="16" t="s">
        <v>33</v>
      </c>
      <c r="H117" s="16" t="n">
        <v>20</v>
      </c>
      <c r="I117" s="17" t="n">
        <v>46290</v>
      </c>
      <c r="J117" s="17" t="n">
        <v>46295</v>
      </c>
      <c r="K117" s="15" t="s">
        <v>350</v>
      </c>
    </row>
    <row r="118" customFormat="false" ht="15" hidden="false" customHeight="false" outlineLevel="0" collapsed="false">
      <c r="A118" s="18" t="s">
        <v>386</v>
      </c>
      <c r="B118" s="18" t="s">
        <v>12</v>
      </c>
      <c r="C118" s="19" t="s">
        <v>387</v>
      </c>
      <c r="D118" s="18" t="s">
        <v>14</v>
      </c>
      <c r="E118" s="18" t="s">
        <v>220</v>
      </c>
      <c r="F118" s="18" t="s">
        <v>66</v>
      </c>
      <c r="G118" s="20" t="s">
        <v>388</v>
      </c>
      <c r="H118" s="20" t="n">
        <v>20</v>
      </c>
      <c r="I118" s="21" t="n">
        <v>46296</v>
      </c>
      <c r="J118" s="21" t="n">
        <v>46297</v>
      </c>
      <c r="K118" s="19" t="s">
        <v>389</v>
      </c>
    </row>
    <row r="119" customFormat="false" ht="15" hidden="false" customHeight="false" outlineLevel="0" collapsed="false">
      <c r="A119" s="18" t="s">
        <v>390</v>
      </c>
      <c r="B119" s="18" t="s">
        <v>12</v>
      </c>
      <c r="C119" s="19" t="s">
        <v>391</v>
      </c>
      <c r="D119" s="18" t="s">
        <v>392</v>
      </c>
      <c r="E119" s="18" t="s">
        <v>220</v>
      </c>
      <c r="F119" s="18" t="s">
        <v>16</v>
      </c>
      <c r="G119" s="20" t="s">
        <v>388</v>
      </c>
      <c r="H119" s="20" t="n">
        <v>20</v>
      </c>
      <c r="I119" s="21" t="n">
        <v>46296</v>
      </c>
      <c r="J119" s="21" t="n">
        <v>46297</v>
      </c>
      <c r="K119" s="19" t="s">
        <v>393</v>
      </c>
    </row>
    <row r="120" customFormat="false" ht="15" hidden="false" customHeight="false" outlineLevel="0" collapsed="false">
      <c r="A120" s="14" t="s">
        <v>394</v>
      </c>
      <c r="B120" s="14" t="s">
        <v>12</v>
      </c>
      <c r="C120" s="15" t="s">
        <v>395</v>
      </c>
      <c r="D120" s="14" t="s">
        <v>219</v>
      </c>
      <c r="E120" s="14" t="s">
        <v>349</v>
      </c>
      <c r="F120" s="14" t="s">
        <v>16</v>
      </c>
      <c r="G120" s="16" t="s">
        <v>33</v>
      </c>
      <c r="H120" s="16" t="n">
        <v>20</v>
      </c>
      <c r="I120" s="17" t="n">
        <v>46296</v>
      </c>
      <c r="J120" s="17" t="n">
        <v>46301</v>
      </c>
      <c r="K120" s="15" t="s">
        <v>350</v>
      </c>
    </row>
    <row r="121" customFormat="false" ht="15" hidden="false" customHeight="false" outlineLevel="0" collapsed="false">
      <c r="A121" s="18" t="s">
        <v>396</v>
      </c>
      <c r="B121" s="18" t="s">
        <v>12</v>
      </c>
      <c r="C121" s="19" t="s">
        <v>397</v>
      </c>
      <c r="D121" s="18" t="s">
        <v>14</v>
      </c>
      <c r="E121" s="18" t="s">
        <v>220</v>
      </c>
      <c r="F121" s="18" t="s">
        <v>66</v>
      </c>
      <c r="G121" s="20" t="s">
        <v>388</v>
      </c>
      <c r="H121" s="20" t="n">
        <v>21</v>
      </c>
      <c r="I121" s="21" t="n">
        <v>46300</v>
      </c>
      <c r="J121" s="21" t="n">
        <v>46301</v>
      </c>
      <c r="K121" s="19" t="s">
        <v>398</v>
      </c>
    </row>
    <row r="122" customFormat="false" ht="15" hidden="false" customHeight="false" outlineLevel="0" collapsed="false">
      <c r="A122" s="18" t="s">
        <v>399</v>
      </c>
      <c r="B122" s="18" t="s">
        <v>12</v>
      </c>
      <c r="C122" s="19" t="s">
        <v>400</v>
      </c>
      <c r="D122" s="18" t="s">
        <v>392</v>
      </c>
      <c r="E122" s="18" t="s">
        <v>220</v>
      </c>
      <c r="F122" s="18" t="s">
        <v>16</v>
      </c>
      <c r="G122" s="20" t="s">
        <v>388</v>
      </c>
      <c r="H122" s="20" t="n">
        <v>21</v>
      </c>
      <c r="I122" s="21" t="n">
        <v>46300</v>
      </c>
      <c r="J122" s="21" t="n">
        <v>46301</v>
      </c>
      <c r="K122" s="19" t="s">
        <v>401</v>
      </c>
    </row>
    <row r="123" customFormat="false" ht="15" hidden="false" customHeight="false" outlineLevel="0" collapsed="false">
      <c r="A123" s="6" t="s">
        <v>402</v>
      </c>
      <c r="B123" s="6" t="s">
        <v>12</v>
      </c>
      <c r="C123" s="7" t="s">
        <v>403</v>
      </c>
      <c r="D123" s="6" t="s">
        <v>30</v>
      </c>
      <c r="E123" s="6" t="s">
        <v>31</v>
      </c>
      <c r="F123" s="6" t="s">
        <v>32</v>
      </c>
      <c r="G123" s="8" t="s">
        <v>33</v>
      </c>
      <c r="H123" s="8" t="n">
        <v>1</v>
      </c>
      <c r="I123" s="9" t="n">
        <v>46157</v>
      </c>
      <c r="J123" s="9" t="n">
        <v>46302</v>
      </c>
      <c r="K123" s="7" t="s">
        <v>404</v>
      </c>
    </row>
    <row r="124" customFormat="false" ht="15" hidden="false" customHeight="false" outlineLevel="0" collapsed="false">
      <c r="A124" s="6" t="s">
        <v>405</v>
      </c>
      <c r="B124" s="6" t="s">
        <v>12</v>
      </c>
      <c r="C124" s="7" t="s">
        <v>406</v>
      </c>
      <c r="D124" s="6" t="s">
        <v>30</v>
      </c>
      <c r="E124" s="6" t="s">
        <v>31</v>
      </c>
      <c r="F124" s="6" t="s">
        <v>32</v>
      </c>
      <c r="G124" s="8" t="s">
        <v>33</v>
      </c>
      <c r="H124" s="8" t="n">
        <v>1</v>
      </c>
      <c r="I124" s="9" t="n">
        <v>46157</v>
      </c>
      <c r="J124" s="9" t="n">
        <v>46302</v>
      </c>
      <c r="K124" s="7" t="s">
        <v>407</v>
      </c>
    </row>
    <row r="125" customFormat="false" ht="15" hidden="false" customHeight="false" outlineLevel="0" collapsed="false">
      <c r="A125" s="6" t="s">
        <v>408</v>
      </c>
      <c r="B125" s="6" t="s">
        <v>12</v>
      </c>
      <c r="C125" s="7" t="s">
        <v>409</v>
      </c>
      <c r="D125" s="6" t="s">
        <v>30</v>
      </c>
      <c r="E125" s="6" t="s">
        <v>31</v>
      </c>
      <c r="F125" s="6" t="s">
        <v>32</v>
      </c>
      <c r="G125" s="8" t="s">
        <v>33</v>
      </c>
      <c r="H125" s="8" t="n">
        <v>1</v>
      </c>
      <c r="I125" s="9" t="n">
        <v>46157</v>
      </c>
      <c r="J125" s="9" t="n">
        <v>46302</v>
      </c>
      <c r="K125" s="7" t="s">
        <v>410</v>
      </c>
    </row>
    <row r="126" customFormat="false" ht="15" hidden="false" customHeight="false" outlineLevel="0" collapsed="false">
      <c r="A126" s="6" t="s">
        <v>411</v>
      </c>
      <c r="B126" s="6" t="s">
        <v>12</v>
      </c>
      <c r="C126" s="7" t="s">
        <v>412</v>
      </c>
      <c r="D126" s="6" t="s">
        <v>30</v>
      </c>
      <c r="E126" s="6" t="s">
        <v>31</v>
      </c>
      <c r="F126" s="6" t="s">
        <v>32</v>
      </c>
      <c r="G126" s="8" t="s">
        <v>33</v>
      </c>
      <c r="H126" s="8" t="n">
        <v>19</v>
      </c>
      <c r="I126" s="9" t="n">
        <v>46286</v>
      </c>
      <c r="J126" s="9" t="n">
        <v>46302</v>
      </c>
      <c r="K126" s="7" t="s">
        <v>413</v>
      </c>
    </row>
  </sheetData>
  <autoFilter ref="A1:K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13"/>
  </cols>
  <sheetData>
    <row r="1" customFormat="false" ht="15" hidden="false" customHeight="false" outlineLevel="0" collapsed="false">
      <c r="A1" s="22" t="s">
        <v>5</v>
      </c>
      <c r="B1" s="22" t="s">
        <v>414</v>
      </c>
      <c r="C1" s="22" t="s">
        <v>17</v>
      </c>
      <c r="D1" s="22" t="s">
        <v>33</v>
      </c>
      <c r="E1" s="22" t="s">
        <v>415</v>
      </c>
      <c r="F1" s="22" t="s">
        <v>416</v>
      </c>
      <c r="G1" s="22" t="s">
        <v>417</v>
      </c>
    </row>
    <row r="2" customFormat="false" ht="15" hidden="false" customHeight="false" outlineLevel="0" collapsed="false">
      <c r="A2" s="23" t="s">
        <v>16</v>
      </c>
      <c r="B2" s="24" t="n">
        <f aca="false">COUNTIF(Schedule!F2:F126,A2)</f>
        <v>65</v>
      </c>
      <c r="C2" s="24" t="n">
        <f aca="false">COUNTIFS(Schedule!F2:F126,A2,Schedule!G2:G126,"Done")</f>
        <v>21</v>
      </c>
      <c r="D2" s="24" t="n">
        <f aca="false">COUNTIFS(Schedule!F2:F126,A2,Schedule!G2:G126,"Backlog")</f>
        <v>42</v>
      </c>
      <c r="E2" s="24" t="n">
        <f aca="false">COUNTIFS(Schedule!F2:F126,A2,Schedule!G2:G126,"Deferred (post Sep 30)")</f>
        <v>2</v>
      </c>
      <c r="F2" s="25" t="n">
        <v>46157</v>
      </c>
      <c r="G2" s="25" t="n">
        <v>46301</v>
      </c>
    </row>
    <row r="3" customFormat="false" ht="15" hidden="false" customHeight="false" outlineLevel="0" collapsed="false">
      <c r="A3" s="26" t="s">
        <v>66</v>
      </c>
      <c r="B3" s="27" t="n">
        <f aca="false">COUNTIF(Schedule!F2:F126,A3)</f>
        <v>55</v>
      </c>
      <c r="C3" s="27" t="n">
        <f aca="false">COUNTIFS(Schedule!F2:F126,A3,Schedule!G2:G126,"Done")</f>
        <v>0</v>
      </c>
      <c r="D3" s="27" t="n">
        <f aca="false">COUNTIFS(Schedule!F2:F126,A3,Schedule!G2:G126,"Backlog")</f>
        <v>53</v>
      </c>
      <c r="E3" s="27" t="n">
        <f aca="false">COUNTIFS(Schedule!F2:F126,A3,Schedule!G2:G126,"Deferred (post Sep 30)")</f>
        <v>2</v>
      </c>
      <c r="F3" s="28" t="n">
        <v>46157</v>
      </c>
      <c r="G3" s="28" t="n">
        <v>46276</v>
      </c>
    </row>
    <row r="4" customFormat="false" ht="15" hidden="false" customHeight="false" outlineLevel="0" collapsed="false">
      <c r="A4" s="29" t="s">
        <v>32</v>
      </c>
      <c r="B4" s="30" t="n">
        <f aca="false">COUNTIF(Schedule!F2:F126,A4)</f>
        <v>5</v>
      </c>
      <c r="C4" s="30" t="n">
        <f aca="false">COUNTIFS(Schedule!F2:F126,A4,Schedule!G2:G126,"Done")</f>
        <v>0</v>
      </c>
      <c r="D4" s="30" t="n">
        <f aca="false">COUNTIFS(Schedule!F2:F126,A4,Schedule!G2:G126,"Backlog")</f>
        <v>5</v>
      </c>
      <c r="E4" s="30" t="n">
        <f aca="false">COUNTIFS(Schedule!F2:F126,A4,Schedule!G2:G126,"Deferred (post Sep 30)")</f>
        <v>0</v>
      </c>
      <c r="F4" s="31" t="n">
        <v>46157</v>
      </c>
      <c r="G4" s="31" t="n">
        <v>46302</v>
      </c>
    </row>
    <row r="5" customFormat="false" ht="15" hidden="false" customHeight="false" outlineLevel="0" collapsed="false">
      <c r="A5" s="32" t="s">
        <v>418</v>
      </c>
      <c r="B5" s="33" t="n">
        <f aca="false">SUM(B2:B4)</f>
        <v>125</v>
      </c>
      <c r="C5" s="33" t="n">
        <f aca="false">SUM(C2:C4)</f>
        <v>21</v>
      </c>
      <c r="D5" s="33" t="n">
        <f aca="false">SUM(D2:D4)</f>
        <v>100</v>
      </c>
      <c r="E5" s="33" t="n">
        <f aca="false">SUM(E2:E4)</f>
        <v>4</v>
      </c>
      <c r="F5" s="34" t="n">
        <v>46157</v>
      </c>
      <c r="G5" s="35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2026-06-15T03:33:34Z</dcterms:created>
  <dc:creator>openpyxl</dc:creator>
  <dc:description/>
  <dc:language>en-US</dc:language>
  <cp:lastModifiedBy/>
  <dcterms:modified xsi:type="dcterms:W3CDTF">2026-06-15T03:33:34Z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